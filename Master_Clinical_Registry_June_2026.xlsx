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cf68a8e8e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gistry" sheetId="1" r:id="R023201f6930641ec"/>
    <x:sheet xmlns:r="http://schemas.openxmlformats.org/officeDocument/2006/relationships" name="Open Items" sheetId="2" r:id="R09a5110c0e584eff"/>
    <x:sheet xmlns:r="http://schemas.openxmlformats.org/officeDocument/2006/relationships" name="Summary" sheetId="3" r:id="R8b94069d51cd4704"/>
    <x:sheet xmlns:r="http://schemas.openxmlformats.org/officeDocument/2006/relationships" name="Pending &amp; Ordered" sheetId="4" r:id="R49effbfe03e04c9f"/>
    <x:sheet xmlns:r="http://schemas.openxmlformats.org/officeDocument/2006/relationships" name="Data Dictionary" sheetId="5" r:id="Ra9f4429dab69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4B5563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4096dad9946be" /><Relationship Type="http://schemas.openxmlformats.org/officeDocument/2006/relationships/theme" Target="/xl/theme/theme1.xml" Id="Rb299a351a66e48eb" /><Relationship Type="http://schemas.openxmlformats.org/officeDocument/2006/relationships/sharedStrings" Target="/xl/sharedStrings.xml" Id="Rce1d304c286c4316" /><Relationship Type="http://schemas.openxmlformats.org/officeDocument/2006/relationships/worksheet" Target="/xl/worksheets/sheet1.xml" Id="R023201f6930641ec" /><Relationship Type="http://schemas.openxmlformats.org/officeDocument/2006/relationships/worksheet" Target="/xl/worksheets/sheet2.xml" Id="R09a5110c0e584eff" /><Relationship Type="http://schemas.openxmlformats.org/officeDocument/2006/relationships/worksheet" Target="/xl/worksheets/sheet3.xml" Id="R8b94069d51cd4704" /><Relationship Type="http://schemas.openxmlformats.org/officeDocument/2006/relationships/worksheet" Target="/xl/worksheets/sheet4.xml" Id="R49effbfe03e04c9f" /><Relationship Type="http://schemas.openxmlformats.org/officeDocument/2006/relationships/worksheet" Target="/xl/worksheets/sheet5.xml" Id="Ra9f4429dab6942f7" /></Relationships>
</file>

<file path=xl/tables/table1.xml><?xml version="1.0" encoding="utf-8"?>
<x:table xmlns:x="http://schemas.openxmlformats.org/spreadsheetml/2006/main" id="1" name="MasterClinicalRegistry" displayName="MasterClinicalRegistry" ref="A1:L164" headerRowCount="1">
  <x:tableColumns count="12">
    <x:tableColumn id="1" name="Date / Timeline"/>
    <x:tableColumn id="2" name="Category"/>
    <x:tableColumn id="3" name="Subcategory"/>
    <x:tableColumn id="4" name="Marker / Clinical Event"/>
    <x:tableColumn id="5" name="Value"/>
    <x:tableColumn id="6" name="Unit"/>
    <x:tableColumn id="7" name="Reference / Threshold"/>
    <x:tableColumn id="8" name="Flag / Status"/>
    <x:tableColumn id="9" name="Clinical Context / Interpretation (careful)"/>
    <x:tableColumn id="10" name="Source / Evidence"/>
    <x:tableColumn id="11" name="Follow-up / Question"/>
    <x:tableColumn id="12" name="Confidence"/>
  </x:tableColumns>
  <x:tableStyleInfo name="TableStyleMedium2" showRowStripes="1"/>
</x:table>
</file>

<file path=xl/tables/table2.xml><?xml version="1.0" encoding="utf-8"?>
<x:table xmlns:x="http://schemas.openxmlformats.org/spreadsheetml/2006/main" id="2" name="OpenItemsTable" displayName="OpenItemsTable" ref="A1:G11" headerRowCount="1">
  <x:tableColumns count="7">
    <x:tableColumn id="1" name="Priority"/>
    <x:tableColumn id="2" name="Domain"/>
    <x:tableColumn id="3" name="Issue"/>
    <x:tableColumn id="4" name="Evidence / trigger"/>
    <x:tableColumn id="5" name="Status"/>
    <x:tableColumn id="6" name="Specific ask"/>
    <x:tableColumn id="7" name="Why it matters"/>
  </x:tableColumns>
  <x:tableStyleInfo name="TableStyleMedium2" showRowStripes="1"/>
</x:table>
</file>

<file path=xl/tables/table3.xml><?xml version="1.0" encoding="utf-8"?>
<x:table xmlns:x="http://schemas.openxmlformats.org/spreadsheetml/2006/main" id="3" name="PendingOrderedTable" displayName="PendingOrderedTable" ref="A1:F10" headerRowCount="1">
  <x:tableColumns count="6">
    <x:tableColumn id="1" name="Item"/>
    <x:tableColumn id="2" name="Ordered?"/>
    <x:tableColumn id="3" name="Result status"/>
    <x:tableColumn id="4" name="Source/Evidence"/>
    <x:tableColumn id="5" name="Why it matters"/>
    <x:tableColumn id="6" name="Next step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B13" headerRowCount="1">
  <x:tableColumns count="2">
    <x:tableColumn id="1" name="Column"/>
    <x:tableColumn id="2" name="Meaning /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9830dfe64f41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ff9ca3aa1647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14dcf09d574d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bbddc01649403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34" hidden="0" customWidth="1"/>
    <x:col min="5" max="5" width="18" hidden="0" customWidth="1"/>
    <x:col min="6" max="6" width="12" hidden="0" customWidth="1"/>
    <x:col min="7" max="7" width="20" hidden="0" customWidth="1"/>
    <x:col min="8" max="8" width="20" hidden="0" customWidth="1"/>
    <x:col min="9" max="9" width="52" hidden="0" customWidth="1"/>
    <x:col min="10" max="10" width="26" hidden="0" customWidth="1"/>
    <x:col min="11" max="11" width="36" hidden="0" customWidth="1"/>
    <x:col min="12" max="12" width="12" hidden="0" customWidth="1"/>
  </x:cols>
  <x:sheetData>
    <x:row r="1" ht="36" customHeight="1">
      <x:c r="A1" s="6" t="str">
        <x:v>Date / Timeline</x:v>
      </x:c>
      <x:c r="B1" s="6" t="str">
        <x:v>Category</x:v>
      </x:c>
      <x:c r="C1" s="6" t="str">
        <x:v>Subcategory</x:v>
      </x:c>
      <x:c r="D1" s="6" t="str">
        <x:v>Marker / Clinical Event</x:v>
      </x:c>
      <x:c r="E1" s="6" t="str">
        <x:v>Value</x:v>
      </x:c>
      <x:c r="F1" s="6" t="str">
        <x:v>Unit</x:v>
      </x:c>
      <x:c r="G1" s="6" t="str">
        <x:v>Reference / Threshold</x:v>
      </x:c>
      <x:c r="H1" s="6" t="str">
        <x:v>Flag / Status</x:v>
      </x:c>
      <x:c r="I1" s="6" t="str">
        <x:v>Clinical Context / Interpretation (careful)</x:v>
      </x:c>
      <x:c r="J1" s="6" t="str">
        <x:v>Source / Evidence</x:v>
      </x:c>
      <x:c r="K1" s="6" t="str">
        <x:v>Follow-up / Question</x:v>
      </x:c>
      <x:c r="L1" s="6" t="str">
        <x:v>Confidence</x:v>
      </x:c>
    </x:row>
    <x:row r="2">
      <x:c r="A2" s="16" t="str">
        <x:v>1984-02-10</x:v>
      </x:c>
      <x:c r="B2" s="16" t="str">
        <x:v>Patient context</x:v>
      </x:c>
      <x:c r="C2" s="16" t="str">
        <x:v>Demographics</x:v>
      </x:c>
      <x:c r="D2" s="16" t="str">
        <x:v>Date of birth</x:v>
      </x:c>
      <x:c r="E2" s="16" t="str">
        <x:v>10 Feb 1984</x:v>
      </x:c>
      <x:c r="F2" s="16" t="str"/>
      <x:c r="G2" s="16" t="str"/>
      <x:c r="H2" s="16" t="str">
        <x:v>Confirmed</x:v>
      </x:c>
      <x:c r="I2" s="16" t="str">
        <x:v>Male patient; age 42 in June 2026 reports.</x:v>
      </x:c>
      <x:c r="J2" s="16" t="str">
        <x:v>Lab reports shared</x:v>
      </x:c>
      <x:c r="K2" s="16" t="str"/>
      <x:c r="L2" s="16" t="str">
        <x:v>High</x:v>
      </x:c>
    </x:row>
    <x:row r="3">
      <x:c r="A3" s="16" t="str">
        <x:v>2012</x:v>
      </x:c>
      <x:c r="B3" s="16" t="str">
        <x:v>Clinical history</x:v>
      </x:c>
      <x:c r="C3" s="16" t="str">
        <x:v>Systemic onset</x:v>
      </x:c>
      <x:c r="D3" s="16" t="str">
        <x:v>Pruritus / urticaria-like skin symptoms / abdominal pain / eosinophilia</x:v>
      </x:c>
      <x:c r="E3" s="16" t="str">
        <x:v>Present</x:v>
      </x:c>
      <x:c r="F3" s="16" t="str">
        <x:v>Clinical</x:v>
      </x:c>
      <x:c r="G3" s="16" t="str"/>
      <x:c r="H3" s="16" t="str">
        <x:v>Historical</x:v>
      </x:c>
      <x:c r="I3" s="16" t="str">
        <x:v>Systemic skin/GI/eosinophil phenotype reportedly predates axial joint/spine diagnosis by ~5 years.</x:v>
      </x:c>
      <x:c r="J3" s="16" t="str">
        <x:v>User-provided clinical chronology</x:v>
      </x:c>
      <x:c r="K3" s="16" t="str">
        <x:v>Correlate with old records if available.</x:v>
      </x:c>
      <x:c r="L3" s="16" t="str">
        <x:v>Medium</x:v>
      </x:c>
    </x:row>
    <x:row r="4">
      <x:c r="A4" s="16" t="str">
        <x:v>2014</x:v>
      </x:c>
      <x:c r="B4" s="16" t="str">
        <x:v>Infectious history</x:v>
      </x:c>
      <x:c r="C4" s="16" t="str">
        <x:v>Parasitology</x:v>
      </x:c>
      <x:c r="D4" s="16" t="str">
        <x:v>Fasciola hepatica infection</x:v>
      </x:c>
      <x:c r="E4" s="16" t="str">
        <x:v>Positive historically</x:v>
      </x:c>
      <x:c r="F4" s="16" t="str">
        <x:v>Clinical</x:v>
      </x:c>
      <x:c r="G4" s="16" t="str"/>
      <x:c r="H4" s="16" t="str">
        <x:v>Historical</x:v>
      </x:c>
      <x:c r="I4" s="16" t="str">
        <x:v>Reported historical liver fluke infection treated in 2014; current serology is now negative.</x:v>
      </x:c>
      <x:c r="J4" s="16" t="str">
        <x:v>User-provided history + later LNS negative serology</x:v>
      </x:c>
      <x:c r="K4" s="16" t="str">
        <x:v>Keep as historical trigger only unless old records suggest ongoing infection.</x:v>
      </x:c>
      <x:c r="L4" s="16" t="str">
        <x:v>Medium</x:v>
      </x:c>
    </x:row>
    <x:row r="5">
      <x:c r="A5" s="16" t="str">
        <x:v>2014</x:v>
      </x:c>
      <x:c r="B5" s="16" t="str">
        <x:v>Therapeutic history</x:v>
      </x:c>
      <x:c r="C5" s="16" t="str">
        <x:v>Antiparasitic</x:v>
      </x:c>
      <x:c r="D5" s="16" t="str">
        <x:v>Triclabendazole</x:v>
      </x:c>
      <x:c r="E5" s="16" t="str">
        <x:v>Completed</x:v>
      </x:c>
      <x:c r="F5" s="16" t="str">
        <x:v>Course</x:v>
      </x:c>
      <x:c r="G5" s="16" t="str"/>
      <x:c r="H5" s="16" t="str">
        <x:v>Historical treatment</x:v>
      </x:c>
      <x:c r="I5" s="16" t="str">
        <x:v>Treatment reportedly completed with initial improvement.</x:v>
      </x:c>
      <x:c r="J5" s="16" t="str">
        <x:v>User-provided clinical chronology</x:v>
      </x:c>
      <x:c r="K5" s="16" t="str"/>
      <x:c r="L5" s="16" t="str">
        <x:v>Medium</x:v>
      </x:c>
    </x:row>
    <x:row r="6">
      <x:c r="A6" s="16" t="str">
        <x:v>2017</x:v>
      </x:c>
      <x:c r="B6" s="16" t="str">
        <x:v>Clinical history</x:v>
      </x:c>
      <x:c r="C6" s="16" t="str">
        <x:v>Rheumatology</x:v>
      </x:c>
      <x:c r="D6" s="16" t="str">
        <x:v>Inflammatory back / SI pain onset</x:v>
      </x:c>
      <x:c r="E6" s="16" t="str">
        <x:v>Present</x:v>
      </x:c>
      <x:c r="F6" s="16" t="str">
        <x:v>Clinical</x:v>
      </x:c>
      <x:c r="G6" s="16" t="str"/>
      <x:c r="H6" s="16" t="str">
        <x:v>Historical</x:v>
      </x:c>
      <x:c r="I6" s="16" t="str">
        <x:v>Start of objective axial inflammatory imaging record.</x:v>
      </x:c>
      <x:c r="J6" s="16" t="str">
        <x:v>User-provided clinical chronology</x:v>
      </x:c>
      <x:c r="K6" s="16" t="str"/>
      <x:c r="L6" s="16" t="str">
        <x:v>Medium</x:v>
      </x:c>
    </x:row>
    <x:row r="7">
      <x:c r="A7" s="16" t="str">
        <x:v>Family history</x:v>
      </x:c>
      <x:c r="B7" s="16" t="str">
        <x:v>Genetics</x:v>
      </x:c>
      <x:c r="C7" s="16" t="str">
        <x:v>Family history</x:v>
      </x:c>
      <x:c r="D7" s="16" t="str">
        <x:v>First-degree cousin died of blast-cell leukemia</x:v>
      </x:c>
      <x:c r="E7" s="16" t="str">
        <x:v>Age 21</x:v>
      </x:c>
      <x:c r="F7" s="16" t="str">
        <x:v>Clinical</x:v>
      </x:c>
      <x:c r="G7" s="16" t="str"/>
      <x:c r="H7" s="16" t="str">
        <x:v>Family history</x:v>
      </x:c>
      <x:c r="I7" s="16" t="str">
        <x:v>Relevant background for genetics/hematology review, but current CBC/LDH/SPEP are reassuring.</x:v>
      </x:c>
      <x:c r="J7" s="16" t="str">
        <x:v>User-provided clinical history</x:v>
      </x:c>
      <x:c r="K7" s="16" t="str">
        <x:v>Ensure treating internist has this history.</x:v>
      </x:c>
      <x:c r="L7" s="16" t="str">
        <x:v>Medium</x:v>
      </x:c>
    </x:row>
    <x:row r="8">
      <x:c r="A8" s="16" t="str">
        <x:v>2017-10</x:v>
      </x:c>
      <x:c r="B8" s="16" t="str">
        <x:v>Radiology</x:v>
      </x:c>
      <x:c r="C8" s="16" t="str">
        <x:v>SI joints MRI</x:v>
      </x:c>
      <x:c r="D8" s="16" t="str">
        <x:v>Right SI joint inflammatory signal / subcortical infiltration</x:v>
      </x:c>
      <x:c r="E8" s="16" t="str">
        <x:v>Positive</x:v>
      </x:c>
      <x:c r="F8" s="16" t="str">
        <x:v>MRI finding</x:v>
      </x:c>
      <x:c r="G8" s="16" t="str"/>
      <x:c r="H8" s="16" t="str">
        <x:v>Abnormal / historical</x:v>
      </x:c>
      <x:c r="I8" s="16" t="str">
        <x:v>Objective sacroiliitis/inflammatory signal, right-dominant.</x:v>
      </x:c>
      <x:c r="J8" s="16" t="str">
        <x:v>User-provided imaging chronology</x:v>
      </x:c>
      <x:c r="K8" s="16" t="str">
        <x:v>Include in side-by-side imaging review.</x:v>
      </x:c>
      <x:c r="L8" s="16" t="str">
        <x:v>Medium</x:v>
      </x:c>
    </x:row>
    <x:row r="9">
      <x:c r="A9" s="16" t="str">
        <x:v>2021-12</x:v>
      </x:c>
      <x:c r="B9" s="16" t="str">
        <x:v>Radiology</x:v>
      </x:c>
      <x:c r="C9" s="16" t="str">
        <x:v>SI joints MRI</x:v>
      </x:c>
      <x:c r="D9" s="16" t="str">
        <x:v>Persistent SI edema / hypersignal</x:v>
      </x:c>
      <x:c r="E9" s="16" t="str">
        <x:v>Right &gt; left; ~2 cm x 0.5 cm</x:v>
      </x:c>
      <x:c r="F9" s="16" t="str">
        <x:v>MRI finding</x:v>
      </x:c>
      <x:c r="G9" s="16" t="str"/>
      <x:c r="H9" s="16" t="str">
        <x:v>Abnormal / historical</x:v>
      </x:c>
      <x:c r="I9" s="16" t="str">
        <x:v>Ongoing active sacroiliitis, right dominant with some bilateral potential.</x:v>
      </x:c>
      <x:c r="J9" s="16" t="str">
        <x:v>User-provided imaging chronology</x:v>
      </x:c>
      <x:c r="K9" s="16" t="str">
        <x:v>Include in side-by-side imaging review.</x:v>
      </x:c>
      <x:c r="L9" s="16" t="str">
        <x:v>Medium</x:v>
      </x:c>
    </x:row>
    <x:row r="10">
      <x:c r="A10" s="16" t="str">
        <x:v>2022-03</x:v>
      </x:c>
      <x:c r="B10" s="16" t="str">
        <x:v>Radiology</x:v>
      </x:c>
      <x:c r="C10" s="16" t="str">
        <x:v>SI joints CT</x:v>
      </x:c>
      <x:c r="D10" s="16" t="str">
        <x:v>Bilateral osteosclerosis / cortical irregularities / inflammatory SI modifications</x:v>
      </x:c>
      <x:c r="E10" s="16" t="str">
        <x:v>Bilateral, right dominant</x:v>
      </x:c>
      <x:c r="F10" s="16" t="str">
        <x:v>CT finding</x:v>
      </x:c>
      <x:c r="G10" s="16" t="str"/>
      <x:c r="H10" s="16" t="str">
        <x:v>Abnormal / structural</x:v>
      </x:c>
      <x:c r="I10" s="16" t="str">
        <x:v>Chronic structural sacroiliitis damage; ankylosis explicitly not confirmed.</x:v>
      </x:c>
      <x:c r="J10" s="16" t="str">
        <x:v>User-provided imaging chronology</x:v>
      </x:c>
      <x:c r="K10" s="16" t="str">
        <x:v>Use CT to reconcile Castellvi/LSTV and SI structural disease.</x:v>
      </x:c>
      <x:c r="L10" s="16" t="str">
        <x:v>Medium</x:v>
      </x:c>
    </x:row>
    <x:row r="11">
      <x:c r="A11" s="16" t="str">
        <x:v>2022-03</x:v>
      </x:c>
      <x:c r="B11" s="16" t="str">
        <x:v>Radiology</x:v>
      </x:c>
      <x:c r="C11" s="16" t="str">
        <x:v>SI joints CT</x:v>
      </x:c>
      <x:c r="D11" s="16" t="str">
        <x:v>Ankylosis</x:v>
      </x:c>
      <x:c r="E11" s="16" t="str">
        <x:v>Not confirmed</x:v>
      </x:c>
      <x:c r="F11" s="16" t="str">
        <x:v>CT finding</x:v>
      </x:c>
      <x:c r="G11" s="16" t="str"/>
      <x:c r="H11" s="16" t="str">
        <x:v>Reassuring</x:v>
      </x:c>
      <x:c r="I11" s="16" t="str">
        <x:v>No confirmed SI ankylosis in 2022 CT.</x:v>
      </x:c>
      <x:c r="J11" s="16" t="str">
        <x:v>User-provided imaging chronology</x:v>
      </x:c>
      <x:c r="K11" s="16" t="str"/>
      <x:c r="L11" s="16" t="str">
        <x:v>Medium</x:v>
      </x:c>
    </x:row>
    <x:row r="12">
      <x:c r="A12" s="16" t="str">
        <x:v>2024-03</x:v>
      </x:c>
      <x:c r="B12" s="16" t="str">
        <x:v>Radiology</x:v>
      </x:c>
      <x:c r="C12" s="16" t="str">
        <x:v>SI joints MRI</x:v>
      </x:c>
      <x:c r="D12" s="16" t="str">
        <x:v>Active bone marrow edema</x:v>
      </x:c>
      <x:c r="E12" s="16" t="str">
        <x:v>Absent</x:v>
      </x:c>
      <x:c r="F12" s="16" t="str">
        <x:v>MRI finding</x:v>
      </x:c>
      <x:c r="G12" s="16" t="str"/>
      <x:c r="H12" s="16" t="str">
        <x:v>No active edema at that time</x:v>
      </x:c>
      <x:c r="I12" s="16" t="str">
        <x:v>Scan showed chronic/fatty changes without active edema, possibly treatment-modified.</x:v>
      </x:c>
      <x:c r="J12" s="16" t="str">
        <x:v>User-provided imaging chronology</x:v>
      </x:c>
      <x:c r="K12" s="16" t="str">
        <x:v>Compare with 2026 SI MRI.</x:v>
      </x:c>
      <x:c r="L12" s="16" t="str">
        <x:v>Medium</x:v>
      </x:c>
    </x:row>
    <x:row r="13">
      <x:c r="A13" s="16" t="str">
        <x:v>2024-03</x:v>
      </x:c>
      <x:c r="B13" s="16" t="str">
        <x:v>Radiology</x:v>
      </x:c>
      <x:c r="C13" s="16" t="str">
        <x:v>SI joints MRI</x:v>
      </x:c>
      <x:c r="D13" s="16" t="str">
        <x:v>Fatty degeneration / fatty involution</x:v>
      </x:c>
      <x:c r="E13" s="16" t="str">
        <x:v>Increasing bilateral</x:v>
      </x:c>
      <x:c r="F13" s="16" t="str">
        <x:v>MRI finding</x:v>
      </x:c>
      <x:c r="G13" s="16" t="str"/>
      <x:c r="H13" s="16" t="str">
        <x:v>Chronic / structural</x:v>
      </x:c>
      <x:c r="I13" s="16" t="str">
        <x:v>Post-inflammatory/chronic marrow change.</x:v>
      </x:c>
      <x:c r="J13" s="16" t="str">
        <x:v>User-provided imaging chronology</x:v>
      </x:c>
      <x:c r="K13" s="16" t="str"/>
      <x:c r="L13" s="16" t="str">
        <x:v>Medium</x:v>
      </x:c>
    </x:row>
    <x:row r="14">
      <x:c r="A14" s="16" t="str">
        <x:v>2024-03</x:v>
      </x:c>
      <x:c r="B14" s="16" t="str">
        <x:v>Radiology</x:v>
      </x:c>
      <x:c r="C14" s="16" t="str">
        <x:v>Lumbosacral anatomy</x:v>
      </x:c>
      <x:c r="D14" s="16" t="str">
        <x:v>Castellvi IIIA</x:v>
      </x:c>
      <x:c r="E14" s="16" t="str">
        <x:v>Reported</x:v>
      </x:c>
      <x:c r="F14" s="16" t="str">
        <x:v>MRI finding</x:v>
      </x:c>
      <x:c r="G14" s="16" t="str"/>
      <x:c r="H14" s="16" t="str">
        <x:v>Anatomical variant</x:v>
      </x:c>
      <x:c r="I14" s="16" t="str">
        <x:v>Prior reports apparently described left-sided Castellvi/LSTV; later report described right S1 lumbarisation.</x:v>
      </x:c>
      <x:c r="J14" s="16" t="str">
        <x:v>User-provided imaging chronology</x:v>
      </x:c>
      <x:c r="K14" s="16" t="str">
        <x:v>Needs formal vertebral numbering reconciliation.</x:v>
      </x:c>
      <x:c r="L14" s="16" t="str">
        <x:v>Medium</x:v>
      </x:c>
    </x:row>
    <x:row r="15">
      <x:c r="A15" s="16" t="str">
        <x:v>2025</x:v>
      </x:c>
      <x:c r="B15" s="16" t="str">
        <x:v>Radiology</x:v>
      </x:c>
      <x:c r="C15" s="16" t="str">
        <x:v>Lumbar MRI</x:v>
      </x:c>
      <x:c r="D15" s="16" t="str">
        <x:v>L4-5 disc herniation</x:v>
      </x:c>
      <x:c r="E15" s="16" t="str">
        <x:v>Present</x:v>
      </x:c>
      <x:c r="F15" s="16" t="str">
        <x:v>MRI finding</x:v>
      </x:c>
      <x:c r="G15" s="16" t="str"/>
      <x:c r="H15" s="16" t="str">
        <x:v>Abnormal / mechanical</x:v>
      </x:c>
      <x:c r="I15" s="16" t="str">
        <x:v>Reported structural vulnerability for radiculopathy.</x:v>
      </x:c>
      <x:c r="J15" s="16" t="str">
        <x:v>User-provided imaging chronology</x:v>
      </x:c>
      <x:c r="K15" s="16" t="str">
        <x:v>Compare directly with June 2026 lumbar MRI.</x:v>
      </x:c>
      <x:c r="L15" s="16" t="str">
        <x:v>Medium</x:v>
      </x:c>
    </x:row>
    <x:row r="16">
      <x:c r="A16" s="16" t="str">
        <x:v>2025</x:v>
      </x:c>
      <x:c r="B16" s="16" t="str">
        <x:v>Radiology</x:v>
      </x:c>
      <x:c r="C16" s="16" t="str">
        <x:v>Lumbar MRI</x:v>
      </x:c>
      <x:c r="D16" s="16" t="str">
        <x:v>Posterior annular tear</x:v>
      </x:c>
      <x:c r="E16" s="16" t="str">
        <x:v>Present</x:v>
      </x:c>
      <x:c r="F16" s="16" t="str">
        <x:v>MRI finding</x:v>
      </x:c>
      <x:c r="G16" s="16" t="str"/>
      <x:c r="H16" s="16" t="str">
        <x:v>Abnormal / mechanical</x:v>
      </x:c>
      <x:c r="I16" s="16" t="str">
        <x:v>Can drive discogenic or radicular pain even if later MRI shows less conflict.</x:v>
      </x:c>
      <x:c r="J16" s="16" t="str">
        <x:v>User-provided imaging chronology</x:v>
      </x:c>
      <x:c r="K16" s="16" t="str">
        <x:v>Ask if tear resolved or was not commented on in June 2026 report.</x:v>
      </x:c>
      <x:c r="L16" s="16" t="str">
        <x:v>Medium</x:v>
      </x:c>
    </x:row>
    <x:row r="17">
      <x:c r="A17" s="16" t="str">
        <x:v>2025</x:v>
      </x:c>
      <x:c r="B17" s="16" t="str">
        <x:v>Radiology</x:v>
      </x:c>
      <x:c r="C17" s="16" t="str">
        <x:v>Lumbar MRI</x:v>
      </x:c>
      <x:c r="D17" s="16" t="str">
        <x:v>Left neural foraminal narrowing / nerve-root compression</x:v>
      </x:c>
      <x:c r="E17" s="16" t="str">
        <x:v>Present</x:v>
      </x:c>
      <x:c r="F17" s="16" t="str">
        <x:v>MRI finding</x:v>
      </x:c>
      <x:c r="G17" s="16" t="str"/>
      <x:c r="H17" s="16" t="str">
        <x:v>Abnormal / neurological</x:v>
      </x:c>
      <x:c r="I17" s="16" t="str">
        <x:v>Could explain prior radicular episodes; June MRI was later after flare period.</x:v>
      </x:c>
      <x:c r="J17" s="16" t="str">
        <x:v>User-provided imaging chronology</x:v>
      </x:c>
      <x:c r="K17" s="16" t="str">
        <x:v>Side-by-side comparison with June scan.</x:v>
      </x:c>
      <x:c r="L17" s="16" t="str">
        <x:v>Medium</x:v>
      </x:c>
    </x:row>
    <x:row r="18">
      <x:c r="A18" s="16" t="str">
        <x:v>2026-01 to 2026-03</x:v>
      </x:c>
      <x:c r="B18" s="16" t="str">
        <x:v>Clinical event</x:v>
      </x:c>
      <x:c r="C18" s="16" t="str">
        <x:v>Neurological pain</x:v>
      </x:c>
      <x:c r="D18" s="16" t="str">
        <x:v>Severe nerve-pain / radiculopathy flare-ups</x:v>
      </x:c>
      <x:c r="E18" s="16" t="str">
        <x:v>4 episodes</x:v>
      </x:c>
      <x:c r="F18" s="16" t="str">
        <x:v>Clinical</x:v>
      </x:c>
      <x:c r="G18" s="16" t="str"/>
      <x:c r="H18" s="16" t="str">
        <x:v>Symptomatic / historical</x:v>
      </x:c>
      <x:c r="I18" s="16" t="str">
        <x:v>Acute nerve flares stopped by early March; June MRI may miss transient pathology.</x:v>
      </x:c>
      <x:c r="J18" s="16" t="str">
        <x:v>User-provided clinical chronology</x:v>
      </x:c>
      <x:c r="K18" s="16" t="str">
        <x:v>If flares recur, consider imaging closer to acute episode / neuro exam.</x:v>
      </x:c>
      <x:c r="L18" s="16" t="str">
        <x:v>Medium</x:v>
      </x:c>
    </x:row>
    <x:row r="19">
      <x:c r="A19" s="16" t="str">
        <x:v>2026-03-24</x:v>
      </x:c>
      <x:c r="B19" s="16" t="str">
        <x:v>Radiology</x:v>
      </x:c>
      <x:c r="C19" s="16" t="str">
        <x:v>Dedicated SI MRI</x:v>
      </x:c>
      <x:c r="D19" s="16" t="str">
        <x:v>Left SI joint bone marrow edema</x:v>
      </x:c>
      <x:c r="E19" s="16" t="str">
        <x:v>8 x 4</x:v>
      </x:c>
      <x:c r="F19" s="16" t="str">
        <x:v>mm</x:v>
      </x:c>
      <x:c r="G19" s="16" t="str"/>
      <x:c r="H19" s="16" t="str">
        <x:v>Abnormal / active inflammation</x:v>
      </x:c>
      <x:c r="I19" s="16" t="str">
        <x:v>Small new active inflammatory focus on dedicated SI MRI.</x:v>
      </x:c>
      <x:c r="J19" s="16" t="str">
        <x:v>User-provided imaging chronology</x:v>
      </x:c>
      <x:c r="K19" s="16" t="str">
        <x:v>Compare side-by-side with June 2026 lumbar/SI-focused MRI.</x:v>
      </x:c>
      <x:c r="L19" s="16" t="str">
        <x:v>Medium</x:v>
      </x:c>
    </x:row>
    <x:row r="20">
      <x:c r="A20" s="16" t="str">
        <x:v>2026-03-24</x:v>
      </x:c>
      <x:c r="B20" s="16" t="str">
        <x:v>Radiology</x:v>
      </x:c>
      <x:c r="C20" s="16" t="str">
        <x:v>Dedicated SI MRI</x:v>
      </x:c>
      <x:c r="D20" s="16" t="str">
        <x:v>L4 anterior-inferior Romanus lesion</x:v>
      </x:c>
      <x:c r="E20" s="16" t="str">
        <x:v>Positive / new</x:v>
      </x:c>
      <x:c r="F20" s="16" t="str">
        <x:v>MRI finding</x:v>
      </x:c>
      <x:c r="G20" s="16" t="str"/>
      <x:c r="H20" s="16" t="str">
        <x:v>Abnormal / active inflammatory concern</x:v>
      </x:c>
      <x:c r="I20" s="16" t="str">
        <x:v>Suggests possible spinal inflammatory lesion beyond SI joints; needs imaging comparison.</x:v>
      </x:c>
      <x:c r="J20" s="16" t="str">
        <x:v>User-provided imaging chronology</x:v>
      </x:c>
      <x:c r="K20" s="16" t="str">
        <x:v>Confirm whether reviewed/visible on June 2026 MRI.</x:v>
      </x:c>
      <x:c r="L20" s="16" t="str">
        <x:v>Medium</x:v>
      </x:c>
    </x:row>
    <x:row r="21">
      <x:c r="A21" s="16" t="str">
        <x:v>2026-03-24</x:v>
      </x:c>
      <x:c r="B21" s="16" t="str">
        <x:v>Radiology</x:v>
      </x:c>
      <x:c r="C21" s="16" t="str">
        <x:v>Dedicated SI MRI</x:v>
      </x:c>
      <x:c r="D21" s="16" t="str">
        <x:v>Progressive fatty involution / chronic SI changes</x:v>
      </x:c>
      <x:c r="E21" s="16" t="str">
        <x:v>Present</x:v>
      </x:c>
      <x:c r="F21" s="16" t="str">
        <x:v>MRI finding</x:v>
      </x:c>
      <x:c r="G21" s="16" t="str"/>
      <x:c r="H21" s="16" t="str">
        <x:v>Chronic / structural</x:v>
      </x:c>
      <x:c r="I21" s="16" t="str">
        <x:v>Chronic post-inflammatory SI damage.</x:v>
      </x:c>
      <x:c r="J21" s="16" t="str">
        <x:v>User-provided imaging chronology</x:v>
      </x:c>
      <x:c r="K21" s="16" t="str"/>
      <x:c r="L21" s="16" t="str">
        <x:v>Medium</x:v>
      </x:c>
    </x:row>
    <x:row r="22">
      <x:c r="A22" s="16" t="str">
        <x:v>2026-06-04</x:v>
      </x:c>
      <x:c r="B22" s="16" t="str">
        <x:v>Radiology</x:v>
      </x:c>
      <x:c r="C22" s="16" t="str">
        <x:v>Lumbar MRI + SI-focused sequences</x:v>
      </x:c>
      <x:c r="D22" s="16" t="str">
        <x:v>L4-5 disc change</x:v>
      </x:c>
      <x:c r="E22" s="16" t="str">
        <x:v>Small anterior disco-osteophytic protrusion; minimal flattening</x:v>
      </x:c>
      <x:c r="F22" s="16" t="str">
        <x:v>MRI finding</x:v>
      </x:c>
      <x:c r="G22" s="16" t="str"/>
      <x:c r="H22" s="16" t="str">
        <x:v>Mild / mechanical</x:v>
      </x:c>
      <x:c r="I22" s="16" t="str">
        <x:v>Less severe than 2025 L4-5 tear/compression report; timing and reporting differences matter.</x:v>
      </x:c>
      <x:c r="J22" s="16" t="str">
        <x:v>User-provided June 2026 MRI translation</x:v>
      </x:c>
      <x:c r="K22" s="16" t="str">
        <x:v>Ask if L4-5 annular tear/foraminal narrowing resolved or was not emphasized.</x:v>
      </x:c>
      <x:c r="L22" s="16" t="str">
        <x:v>Medium</x:v>
      </x:c>
    </x:row>
    <x:row r="23">
      <x:c r="A23" s="16" t="str">
        <x:v>2026-06-04</x:v>
      </x:c>
      <x:c r="B23" s="16" t="str">
        <x:v>Radiology</x:v>
      </x:c>
      <x:c r="C23" s="16" t="str">
        <x:v>Lumbar MRI + SI-focused sequences</x:v>
      </x:c>
      <x:c r="D23" s="16" t="str">
        <x:v>L5-S1 disc disease</x:v>
      </x:c>
      <x:c r="E23" s="16" t="str">
        <x:v>Moderate; desiccation; small circumferential protrusion</x:v>
      </x:c>
      <x:c r="F23" s="16" t="str">
        <x:v>MRI finding</x:v>
      </x:c>
      <x:c r="G23" s="16" t="str"/>
      <x:c r="H23" s="16" t="str">
        <x:v>Abnormal / mechanical</x:v>
      </x:c>
      <x:c r="I23" s="16" t="str">
        <x:v>May be mechanical/discogenic contributor; not proof of inflammatory spread by itself.</x:v>
      </x:c>
      <x:c r="J23" s="16" t="str">
        <x:v>User-provided June 2026 MRI translation</x:v>
      </x:c>
      <x:c r="K23" s="16" t="str">
        <x:v>Correlate clinically with pain pattern.</x:v>
      </x:c>
      <x:c r="L23" s="16" t="str">
        <x:v>Medium</x:v>
      </x:c>
    </x:row>
    <x:row r="24">
      <x:c r="A24" s="16" t="str">
        <x:v>2026-06-04</x:v>
      </x:c>
      <x:c r="B24" s="16" t="str">
        <x:v>Radiology</x:v>
      </x:c>
      <x:c r="C24" s="16" t="str">
        <x:v>Lumbar MRI + SI-focused sequences</x:v>
      </x:c>
      <x:c r="D24" s="16" t="str">
        <x:v>Disco-radicular conflict</x:v>
      </x:c>
      <x:c r="E24" s="16" t="str">
        <x:v>Absent / no evident conflict</x:v>
      </x:c>
      <x:c r="F24" s="16" t="str">
        <x:v>MRI finding</x:v>
      </x:c>
      <x:c r="G24" s="16" t="str"/>
      <x:c r="H24" s="16" t="str">
        <x:v>Reassuring for current compression</x:v>
      </x:c>
      <x:c r="I24" s="16" t="str">
        <x:v>No obvious current major lumbar nerve compression on June scan.</x:v>
      </x:c>
      <x:c r="J24" s="16" t="str">
        <x:v>User-provided June 2026 MRI translation</x:v>
      </x:c>
      <x:c r="K24" s="16" t="str">
        <x:v>Does not exclude Jan–Mar transient radicular irritation.</x:v>
      </x:c>
      <x:c r="L24" s="16" t="str">
        <x:v>Medium</x:v>
      </x:c>
    </x:row>
    <x:row r="25">
      <x:c r="A25" s="16" t="str">
        <x:v>2026-06-04</x:v>
      </x:c>
      <x:c r="B25" s="16" t="str">
        <x:v>Radiology</x:v>
      </x:c>
      <x:c r="C25" s="16" t="str">
        <x:v>Lumbar MRI + SI-focused sequences</x:v>
      </x:c>
      <x:c r="D25" s="16" t="str">
        <x:v>SI active inflammation</x:v>
      </x:c>
      <x:c r="E25" s="16" t="str">
        <x:v>No active inflammatory sign reported</x:v>
      </x:c>
      <x:c r="F25" s="16" t="str">
        <x:v>MRI finding</x:v>
      </x:c>
      <x:c r="G25" s="16" t="str"/>
      <x:c r="H25" s="16" t="str">
        <x:v>Contrasts with March SI MRI</x:v>
      </x:c>
      <x:c r="I25" s="16" t="str">
        <x:v>Secondary SI assessment in lumbar-led MRI; does not automatically negate March dedicated SI MRI.</x:v>
      </x:c>
      <x:c r="J25" s="16" t="str">
        <x:v>User-provided June 2026 MRI translation</x:v>
      </x:c>
      <x:c r="K25" s="16" t="str">
        <x:v>Side-by-side MSK radiology review needed.</x:v>
      </x:c>
      <x:c r="L25" s="16" t="str">
        <x:v>Medium</x:v>
      </x:c>
    </x:row>
    <x:row r="26">
      <x:c r="A26" s="16" t="str">
        <x:v>2026-06-04</x:v>
      </x:c>
      <x:c r="B26" s="16" t="str">
        <x:v>Radiology</x:v>
      </x:c>
      <x:c r="C26" s="16" t="str">
        <x:v>Lumbosacral transitional vertebra</x:v>
      </x:c>
      <x:c r="D26" s="16" t="str">
        <x:v>Right hemi-lumbarisation of S1 / Castellvi IIIA</x:v>
      </x:c>
      <x:c r="E26" s="16" t="str">
        <x:v>Reported</x:v>
      </x:c>
      <x:c r="F26" s="16" t="str">
        <x:v>MRI finding</x:v>
      </x:c>
      <x:c r="G26" s="16" t="str"/>
      <x:c r="H26" s="16" t="str">
        <x:v>Anatomical variant / discrepancy</x:v>
      </x:c>
      <x:c r="I26" s="16" t="str">
        <x:v>Contrasts with earlier left Castellvi IIIA descriptions; may reflect numbering/side reporting issue.</x:v>
      </x:c>
      <x:c r="J26" s="16" t="str">
        <x:v>User-provided June 2026 MRI translation</x:v>
      </x:c>
      <x:c r="K26" s="16" t="str">
        <x:v>Reconcile with CT/whole-spine counting.</x:v>
      </x:c>
      <x:c r="L26" s="16" t="str">
        <x:v>Medium</x:v>
      </x:c>
    </x:row>
    <x:row r="27">
      <x:c r="A27" s="16" t="str">
        <x:v>2026-06</x:v>
      </x:c>
      <x:c r="B27" s="16" t="str">
        <x:v>Clinical symptoms</x:v>
      </x:c>
      <x:c r="C27" s="16" t="str">
        <x:v>Pain/stiffness</x:v>
      </x:c>
      <x:c r="D27" s="16" t="str">
        <x:v>Persistent SI pain</x:v>
      </x:c>
      <x:c r="E27" s="16" t="str">
        <x:v>Present</x:v>
      </x:c>
      <x:c r="F27" s="16" t="str">
        <x:v>Clinical</x:v>
      </x:c>
      <x:c r="G27" s="16" t="str"/>
      <x:c r="H27" s="16" t="str">
        <x:v>Active symptom</x:v>
      </x:c>
      <x:c r="I27" s="16" t="str">
        <x:v>Continues despite mixed MRI messages.</x:v>
      </x:c>
      <x:c r="J27" s="16" t="str">
        <x:v>User report</x:v>
      </x:c>
      <x:c r="K27" s="16" t="str">
        <x:v>Correlate inflammatory vs structural/mechanical SI pain.</x:v>
      </x:c>
      <x:c r="L27" s="16" t="str">
        <x:v>Medium</x:v>
      </x:c>
    </x:row>
    <x:row r="28">
      <x:c r="A28" s="16" t="str">
        <x:v>2026-06</x:v>
      </x:c>
      <x:c r="B28" s="16" t="str">
        <x:v>Clinical symptoms</x:v>
      </x:c>
      <x:c r="C28" s="16" t="str">
        <x:v>Pain/stiffness</x:v>
      </x:c>
      <x:c r="D28" s="16" t="str">
        <x:v>Whole-spine stiffness</x:v>
      </x:c>
      <x:c r="E28" s="16" t="str">
        <x:v>Present</x:v>
      </x:c>
      <x:c r="F28" s="16" t="str">
        <x:v>Clinical</x:v>
      </x:c>
      <x:c r="G28" s="16" t="str"/>
      <x:c r="H28" s="16" t="str">
        <x:v>Active symptom</x:v>
      </x:c>
      <x:c r="I28" s="16" t="str">
        <x:v>May reflect inflammatory, mechanical, myofascial, or mixed pain.</x:v>
      </x:c>
      <x:c r="J28" s="16" t="str">
        <x:v>User report</x:v>
      </x:c>
      <x:c r="K28" s="16" t="str">
        <x:v>Consider cervical/thoracic assessment if persistent/severe.</x:v>
      </x:c>
      <x:c r="L28" s="16" t="str">
        <x:v>Medium</x:v>
      </x:c>
    </x:row>
    <x:row r="29">
      <x:c r="A29" s="16" t="str">
        <x:v>2026-06</x:v>
      </x:c>
      <x:c r="B29" s="16" t="str">
        <x:v>Clinical symptoms</x:v>
      </x:c>
      <x:c r="C29" s="16" t="str">
        <x:v>Neck/shoulder</x:v>
      </x:c>
      <x:c r="D29" s="16" t="str">
        <x:v>Neck and shoulder-blade pain</x:v>
      </x:c>
      <x:c r="E29" s="16" t="str">
        <x:v>Severe episodes</x:v>
      </x:c>
      <x:c r="F29" s="16" t="str">
        <x:v>Clinical</x:v>
      </x:c>
      <x:c r="G29" s="16" t="str"/>
      <x:c r="H29" s="16" t="str">
        <x:v>Active symptom</x:v>
      </x:c>
      <x:c r="I29" s="16" t="str">
        <x:v>Cervical/thoracic imaging not yet seen; urgency depends on neurological red flags.</x:v>
      </x:c>
      <x:c r="J29" s="16" t="str">
        <x:v>User report</x:v>
      </x:c>
      <x:c r="K29" s="16" t="str">
        <x:v>Discuss cervical/thoracic imaging with clinician.</x:v>
      </x:c>
      <x:c r="L29" s="16" t="str">
        <x:v>Medium</x:v>
      </x:c>
    </x:row>
    <x:row r="30">
      <x:c r="A30" s="16" t="str">
        <x:v>2026-06</x:v>
      </x:c>
      <x:c r="B30" s="16" t="str">
        <x:v>Clinical symptoms</x:v>
      </x:c>
      <x:c r="C30" s="16" t="str">
        <x:v>Skin</x:v>
      </x:c>
      <x:c r="D30" s="16" t="str">
        <x:v>Pruritic/urticarial skin lesions / bleeding spots</x:v>
      </x:c>
      <x:c r="E30" s="16" t="str">
        <x:v>Active/recurrent</x:v>
      </x:c>
      <x:c r="F30" s="16" t="str">
        <x:v>Clinical</x:v>
      </x:c>
      <x:c r="G30" s="16" t="str"/>
      <x:c r="H30" s="16" t="str">
        <x:v>Active symptom</x:v>
      </x:c>
      <x:c r="I30" s="16" t="str">
        <x:v>Skin symptoms are central given high ECP and eosinophils in biopsy.</x:v>
      </x:c>
      <x:c r="J30" s="16" t="str">
        <x:v>User report</x:v>
      </x:c>
      <x:c r="K30" s="16" t="str">
        <x:v>Need written biopsy result.</x:v>
      </x:c>
      <x:c r="L30" s="16" t="str">
        <x:v>Medium</x:v>
      </x:c>
    </x:row>
    <x:row r="31">
      <x:c r="A31" s="16" t="str">
        <x:v>2026-06</x:v>
      </x:c>
      <x:c r="B31" s="16" t="str">
        <x:v>Clinical symptoms</x:v>
      </x:c>
      <x:c r="C31" s="16" t="str">
        <x:v>Fatigue/sleep</x:v>
      </x:c>
      <x:c r="D31" s="16" t="str">
        <x:v>Fatigue and sleep disruption</x:v>
      </x:c>
      <x:c r="E31" s="16" t="str">
        <x:v>Present</x:v>
      </x:c>
      <x:c r="F31" s="16" t="str">
        <x:v>Clinical</x:v>
      </x:c>
      <x:c r="G31" s="16" t="str"/>
      <x:c r="H31" s="16" t="str">
        <x:v>Active symptom</x:v>
      </x:c>
      <x:c r="I31" s="16" t="str">
        <x:v>Likely multifactorial: pain, itch, B12/Vit D, inflammation, sleep disruption.</x:v>
      </x:c>
      <x:c r="J31" s="16" t="str">
        <x:v>User report</x:v>
      </x:c>
      <x:c r="K31" s="16" t="str">
        <x:v>Treat reversible contributors.</x:v>
      </x:c>
      <x:c r="L31" s="16" t="str">
        <x:v>Medium</x:v>
      </x:c>
    </x:row>
    <x:row r="32">
      <x:c r="A32" s="16" t="str">
        <x:v>2026-06</x:v>
      </x:c>
      <x:c r="B32" s="16" t="str">
        <x:v>Clinical symptoms</x:v>
      </x:c>
      <x:c r="C32" s="16" t="str">
        <x:v>Eye</x:v>
      </x:c>
      <x:c r="D32" s="16" t="str">
        <x:v>Red/burning/swollen eyelid episode</x:v>
      </x:c>
      <x:c r="E32" s="16" t="str">
        <x:v>Resolved in ~24h</x:v>
      </x:c>
      <x:c r="F32" s="16" t="str">
        <x:v>Clinical</x:v>
      </x:c>
      <x:c r="G32" s="16" t="str"/>
      <x:c r="H32" s="16" t="str">
        <x:v>Resolved symptom</x:v>
      </x:c>
      <x:c r="I32" s="16" t="str">
        <x:v>Less typical for active uveitis if fully resolved, but recurrence with photophobia/vision change needs slit lamp.</x:v>
      </x:c>
      <x:c r="J32" s="16" t="str">
        <x:v>User report/photo review</x:v>
      </x:c>
      <x:c r="K32" s="16" t="str">
        <x:v>Urgent ophthalmology if pain/photophobia/blurred vision returns.</x:v>
      </x:c>
      <x:c r="L32" s="16" t="str">
        <x:v>Medium</x:v>
      </x:c>
    </x:row>
    <x:row r="33">
      <x:c r="A33" s="16" t="str">
        <x:v>Past</x:v>
      </x:c>
      <x:c r="B33" s="16" t="str">
        <x:v>Treatment history</x:v>
      </x:c>
      <x:c r="C33" s="16" t="str">
        <x:v>Biologic</x:v>
      </x:c>
      <x:c r="D33" s="16" t="str">
        <x:v>Adalimumab / Humira</x:v>
      </x:c>
      <x:c r="E33" s="16" t="str">
        <x:v>Initial response then secondary failure</x:v>
      </x:c>
      <x:c r="F33" s="16" t="str">
        <x:v>Treatment outcome</x:v>
      </x:c>
      <x:c r="G33" s="16" t="str"/>
      <x:c r="H33" s="16" t="str">
        <x:v>Historical</x:v>
      </x:c>
      <x:c r="I33" s="16" t="str">
        <x:v>TNF inhibitor response/failure history.</x:v>
      </x:c>
      <x:c r="J33" s="16" t="str">
        <x:v>User-provided treatment history</x:v>
      </x:c>
      <x:c r="K33" s="16" t="str"/>
      <x:c r="L33" s="16" t="str">
        <x:v>Medium</x:v>
      </x:c>
    </x:row>
    <x:row r="34">
      <x:c r="A34" s="16" t="str">
        <x:v>Past</x:v>
      </x:c>
      <x:c r="B34" s="16" t="str">
        <x:v>Treatment history</x:v>
      </x:c>
      <x:c r="C34" s="16" t="str">
        <x:v>Biologic</x:v>
      </x:c>
      <x:c r="D34" s="16" t="str">
        <x:v>Secukinumab / Cosentyx</x:v>
      </x:c>
      <x:c r="E34" s="16" t="str">
        <x:v>Ineffective despite dose adjustment</x:v>
      </x:c>
      <x:c r="F34" s="16" t="str">
        <x:v>Treatment outcome</x:v>
      </x:c>
      <x:c r="G34" s="16" t="str"/>
      <x:c r="H34" s="16" t="str">
        <x:v>Historical</x:v>
      </x:c>
      <x:c r="I34" s="16" t="str">
        <x:v>IL-17A inhibitor failure history.</x:v>
      </x:c>
      <x:c r="J34" s="16" t="str">
        <x:v>User-provided treatment history</x:v>
      </x:c>
      <x:c r="K34" s="16" t="str"/>
      <x:c r="L34" s="16" t="str">
        <x:v>Medium</x:v>
      </x:c>
    </x:row>
    <x:row r="35">
      <x:c r="A35" s="16" t="str">
        <x:v>Past</x:v>
      </x:c>
      <x:c r="B35" s="16" t="str">
        <x:v>Treatment history</x:v>
      </x:c>
      <x:c r="C35" s="16" t="str">
        <x:v>Biologic</x:v>
      </x:c>
      <x:c r="D35" s="16" t="str">
        <x:v>Golimumab / Simponi</x:v>
      </x:c>
      <x:c r="E35" s="16" t="str">
        <x:v>Ineffective</x:v>
      </x:c>
      <x:c r="F35" s="16" t="str">
        <x:v>Treatment outcome</x:v>
      </x:c>
      <x:c r="G35" s="16" t="str"/>
      <x:c r="H35" s="16" t="str">
        <x:v>Historical</x:v>
      </x:c>
      <x:c r="I35" s="16" t="str">
        <x:v>TNF inhibitor failure history.</x:v>
      </x:c>
      <x:c r="J35" s="16" t="str">
        <x:v>User-provided treatment history</x:v>
      </x:c>
      <x:c r="K35" s="16" t="str"/>
      <x:c r="L35" s="16" t="str">
        <x:v>Medium</x:v>
      </x:c>
    </x:row>
    <x:row r="36">
      <x:c r="A36" s="16" t="str">
        <x:v>Past</x:v>
      </x:c>
      <x:c r="B36" s="16" t="str">
        <x:v>Treatment history</x:v>
      </x:c>
      <x:c r="C36" s="16" t="str">
        <x:v>JAK inhibitor</x:v>
      </x:c>
      <x:c r="D36" s="16" t="str">
        <x:v>Upadacitinib / Rinvoq</x:v>
      </x:c>
      <x:c r="E36" s="16" t="str">
        <x:v>Initially effective; stopped due to infections</x:v>
      </x:c>
      <x:c r="F36" s="16" t="str">
        <x:v>Treatment outcome</x:v>
      </x:c>
      <x:c r="G36" s="16" t="str"/>
      <x:c r="H36" s="16" t="str">
        <x:v>Historical</x:v>
      </x:c>
      <x:c r="I36" s="16" t="str">
        <x:v>Better response to broad JAK inhibition may be clinically relevant; infection tolerance issue.</x:v>
      </x:c>
      <x:c r="J36" s="16" t="str">
        <x:v>User-provided treatment history</x:v>
      </x:c>
      <x:c r="K36" s="16" t="str"/>
      <x:c r="L36" s="16" t="str">
        <x:v>Medium</x:v>
      </x:c>
    </x:row>
    <x:row r="37">
      <x:c r="A37" s="16" t="str">
        <x:v>Past</x:v>
      </x:c>
      <x:c r="B37" s="16" t="str">
        <x:v>Treatment history</x:v>
      </x:c>
      <x:c r="C37" s="16" t="str">
        <x:v>JAK inhibitor</x:v>
      </x:c>
      <x:c r="D37" s="16" t="str">
        <x:v>Filgotinib / Jyseleca</x:v>
      </x:c>
      <x:c r="E37" s="16" t="str">
        <x:v>Effective; stopped in infectious context</x:v>
      </x:c>
      <x:c r="F37" s="16" t="str">
        <x:v>Treatment outcome</x:v>
      </x:c>
      <x:c r="G37" s="16" t="str"/>
      <x:c r="H37" s="16" t="str">
        <x:v>Historical</x:v>
      </x:c>
      <x:c r="I37" s="16" t="str">
        <x:v>Better response to broad JAK inhibition may be clinically relevant.</x:v>
      </x:c>
      <x:c r="J37" s="16" t="str">
        <x:v>User-provided treatment history</x:v>
      </x:c>
      <x:c r="K37" s="16" t="str"/>
      <x:c r="L37" s="16" t="str">
        <x:v>Medium</x:v>
      </x:c>
    </x:row>
    <x:row r="38">
      <x:c r="A38" s="16" t="str">
        <x:v>2026-05/06</x:v>
      </x:c>
      <x:c r="B38" s="16" t="str">
        <x:v>Treatment history</x:v>
      </x:c>
      <x:c r="C38" s="16" t="str">
        <x:v>Biologic</x:v>
      </x:c>
      <x:c r="D38" s="16" t="str">
        <x:v>Bimekizumab / Bimzelx</x:v>
      </x:c>
      <x:c r="E38" s="16" t="str">
        <x:v>Active</x:v>
      </x:c>
      <x:c r="F38" s="16" t="str">
        <x:v>Treatment status</x:v>
      </x:c>
      <x:c r="G38" s="16" t="str"/>
      <x:c r="H38" s="16" t="str">
        <x:v>Current</x:v>
      </x:c>
      <x:c r="I38" s="16" t="str">
        <x:v>Dual IL-17A/F inhibitor, plausible for axSpA/PsA but may not address separate eosinophil skin process.</x:v>
      </x:c>
      <x:c r="J38" s="16" t="str">
        <x:v>User-provided treatment history</x:v>
      </x:c>
      <x:c r="K38" s="16" t="str">
        <x:v>Assess response and safety.</x:v>
      </x:c>
      <x:c r="L38" s="16" t="str">
        <x:v>Medium</x:v>
      </x:c>
    </x:row>
    <x:row r="39">
      <x:c r="A39" s="16" t="str">
        <x:v>Current/PRN</x:v>
      </x:c>
      <x:c r="B39" s="16" t="str">
        <x:v>Treatment history</x:v>
      </x:c>
      <x:c r="C39" s="16" t="str">
        <x:v>Pain management</x:v>
      </x:c>
      <x:c r="D39" s="16" t="str">
        <x:v>Tramadol</x:v>
      </x:c>
      <x:c r="E39" s="16" t="str">
        <x:v>PRN</x:v>
      </x:c>
      <x:c r="F39" s="16" t="str">
        <x:v>Medication</x:v>
      </x:c>
      <x:c r="G39" s="16" t="str"/>
      <x:c r="H39" s="16" t="str">
        <x:v>Intermittent</x:v>
      </x:c>
      <x:c r="I39" s="16" t="str">
        <x:v>Used for acute radicular pain episodes.</x:v>
      </x:c>
      <x:c r="J39" s="16" t="str">
        <x:v>User-provided treatment history</x:v>
      </x:c>
      <x:c r="K39" s="16" t="str"/>
      <x:c r="L39" s="16" t="str">
        <x:v>Medium</x:v>
      </x:c>
    </x:row>
    <x:row r="40">
      <x:c r="A40" s="16" t="str">
        <x:v>Current/unclear</x:v>
      </x:c>
      <x:c r="B40" s="16" t="str">
        <x:v>Treatment history</x:v>
      </x:c>
      <x:c r="C40" s="16" t="str">
        <x:v>Pain/anti-inflammatory</x:v>
      </x:c>
      <x:c r="D40" s="16" t="str">
        <x:v>NSAIDs / ibuprofen</x:v>
      </x:c>
      <x:c r="E40" s="16" t="str">
        <x:v>Used/recommended</x:v>
      </x:c>
      <x:c r="F40" s="16" t="str">
        <x:v>Medication</x:v>
      </x:c>
      <x:c r="G40" s="16" t="str"/>
      <x:c r="H40" s="16" t="str">
        <x:v>Intermittent/current</x:v>
      </x:c>
      <x:c r="I40" s="16" t="str">
        <x:v>May reduce inflammatory MRI signal and symptoms.</x:v>
      </x:c>
      <x:c r="J40" s="16" t="str">
        <x:v>User-provided treatment history</x:v>
      </x:c>
      <x:c r="K40" s="16" t="str"/>
      <x:c r="L40" s="16" t="str">
        <x:v>Medium</x:v>
      </x:c>
    </x:row>
    <x:row r="41">
      <x:c r="A41" s="16" t="str">
        <x:v>Recommended/unclear</x:v>
      </x:c>
      <x:c r="B41" s="16" t="str">
        <x:v>Treatment history</x:v>
      </x:c>
      <x:c r="C41" s="16" t="str">
        <x:v>Neuropathic pain</x:v>
      </x:c>
      <x:c r="D41" s="16" t="str">
        <x:v>Pregabalin</x:v>
      </x:c>
      <x:c r="E41" s="16" t="str">
        <x:v>Recommended; status unclear</x:v>
      </x:c>
      <x:c r="F41" s="16" t="str">
        <x:v>Medication</x:v>
      </x:c>
      <x:c r="G41" s="16" t="str"/>
      <x:c r="H41" s="16" t="str">
        <x:v>Not confirmed</x:v>
      </x:c>
      <x:c r="I41" s="16" t="str">
        <x:v>For neuropathic/radicular symptoms if clinically appropriate.</x:v>
      </x:c>
      <x:c r="J41" s="16" t="str">
        <x:v>User-provided treatment history</x:v>
      </x:c>
      <x:c r="K41" s="16" t="str">
        <x:v>Confirm status with treating doctor.</x:v>
      </x:c>
      <x:c r="L41" s="16" t="str">
        <x:v>Medium</x:v>
      </x:c>
    </x:row>
    <x:row r="42">
      <x:c r="A42" s="16" t="str">
        <x:v>Not started/unclear</x:v>
      </x:c>
      <x:c r="B42" s="16" t="str">
        <x:v>Treatment gap</x:v>
      </x:c>
      <x:c r="C42" s="16" t="str">
        <x:v>Lipid management</x:v>
      </x:c>
      <x:c r="D42" s="16" t="str">
        <x:v>Statin therapy</x:v>
      </x:c>
      <x:c r="E42" s="16" t="str">
        <x:v>Not prescribed / not started</x:v>
      </x:c>
      <x:c r="F42" s="16" t="str">
        <x:v>Medication</x:v>
      </x:c>
      <x:c r="G42" s="16" t="str"/>
      <x:c r="H42" s="16" t="str">
        <x:v>Action gap</x:v>
      </x:c>
      <x:c r="I42" s="16" t="str">
        <x:v>LDL/ApoB profile suggests need for CV risk discussion.</x:v>
      </x:c>
      <x:c r="J42" s="16" t="str">
        <x:v>User-provided treatment history</x:v>
      </x:c>
      <x:c r="K42" s="16" t="str">
        <x:v>Discuss with GP/cardiologist/rheumatologist.</x:v>
      </x:c>
      <x:c r="L42" s="16" t="str">
        <x:v>Medium</x:v>
      </x:c>
    </x:row>
    <x:row r="43">
      <x:c r="A43" s="16" t="str">
        <x:v>Not started/unclear</x:v>
      </x:c>
      <x:c r="B43" s="16" t="str">
        <x:v>Treatment gap</x:v>
      </x:c>
      <x:c r="C43" s="16" t="str">
        <x:v>Vitamin replacement</x:v>
      </x:c>
      <x:c r="D43" s="16" t="str">
        <x:v>B12 supplementation</x:v>
      </x:c>
      <x:c r="E43" s="16" t="str">
        <x:v>Not started / unclear</x:v>
      </x:c>
      <x:c r="F43" s="16" t="str">
        <x:v>Medication</x:v>
      </x:c>
      <x:c r="G43" s="16" t="str"/>
      <x:c r="H43" s="16" t="str">
        <x:v>Action gap</x:v>
      </x:c>
      <x:c r="I43" s="16" t="str">
        <x:v>B12 is low and homocysteine high; treat per clinician.</x:v>
      </x:c>
      <x:c r="J43" s="16" t="str">
        <x:v>User-provided treatment history</x:v>
      </x:c>
      <x:c r="K43" s="16" t="str">
        <x:v>Start/confirm replacement plan with clinician.</x:v>
      </x:c>
      <x:c r="L43" s="16" t="str">
        <x:v>Medium</x:v>
      </x:c>
    </x:row>
    <x:row r="44">
      <x:c r="A44" s="16" t="str">
        <x:v>Not started/unclear</x:v>
      </x:c>
      <x:c r="B44" s="16" t="str">
        <x:v>Treatment gap</x:v>
      </x:c>
      <x:c r="C44" s="16" t="str">
        <x:v>Vitamin replacement</x:v>
      </x:c>
      <x:c r="D44" s="16" t="str">
        <x:v>Vitamin D supplementation</x:v>
      </x:c>
      <x:c r="E44" s="16" t="str">
        <x:v>Not confirmed</x:v>
      </x:c>
      <x:c r="F44" s="16" t="str">
        <x:v>Medication</x:v>
      </x:c>
      <x:c r="G44" s="16" t="str"/>
      <x:c r="H44" s="16" t="str">
        <x:v>Action gap</x:v>
      </x:c>
      <x:c r="I44" s="16" t="str">
        <x:v>Vitamin D insufficient; treat per clinician.</x:v>
      </x:c>
      <x:c r="J44" s="16" t="str">
        <x:v>User-provided treatment history</x:v>
      </x:c>
      <x:c r="K44" s="16" t="str">
        <x:v>Confirm dosing plan.</x:v>
      </x:c>
      <x:c r="L44" s="16" t="str">
        <x:v>Medium</x:v>
      </x:c>
    </x:row>
    <x:row r="45">
      <x:c r="A45" s="16" t="str">
        <x:v>2026-06-01</x:v>
      </x:c>
      <x:c r="B45" s="16" t="str">
        <x:v>Hematology</x:v>
      </x:c>
      <x:c r="C45" s="16" t="str">
        <x:v>CBC</x:v>
      </x:c>
      <x:c r="D45" s="16" t="str">
        <x:v>Leucocytes</x:v>
      </x:c>
      <x:c r="E45" s="16" t="n">
        <x:v>7.16</x:v>
      </x:c>
      <x:c r="F45" s="16" t="str">
        <x:v>G/L</x:v>
      </x:c>
      <x:c r="G45" s="16" t="str">
        <x:v>3.90–10.20</x:v>
      </x:c>
      <x:c r="H45" s="16" t="str">
        <x:v>Normal</x:v>
      </x:c>
      <x:c r="I45" s="16" t="str">
        <x:v>No generalized leukocytosis/leukopenia.</x:v>
      </x:c>
      <x:c r="J45" s="16" t="str">
        <x:v>CHL lab data shared by user</x:v>
      </x:c>
      <x:c r="K45" s="16" t="str"/>
      <x:c r="L45" s="16" t="str">
        <x:v>High</x:v>
      </x:c>
    </x:row>
    <x:row r="46">
      <x:c r="A46" s="16" t="str">
        <x:v>2026-06-01</x:v>
      </x:c>
      <x:c r="B46" s="16" t="str">
        <x:v>Hematology</x:v>
      </x:c>
      <x:c r="C46" s="16" t="str">
        <x:v>CBC</x:v>
      </x:c>
      <x:c r="D46" s="16" t="str">
        <x:v>Erythrocytes</x:v>
      </x:c>
      <x:c r="E46" s="16" t="n">
        <x:v>5.36</x:v>
      </x:c>
      <x:c r="F46" s="16" t="str">
        <x:v>T/L</x:v>
      </x:c>
      <x:c r="G46" s="16" t="str">
        <x:v>4.30–5.75</x:v>
      </x:c>
      <x:c r="H46" s="16" t="str">
        <x:v>Normal</x:v>
      </x:c>
      <x:c r="I46" s="16" t="str"/>
      <x:c r="J46" s="16" t="str">
        <x:v>CHL lab data shared by user</x:v>
      </x:c>
      <x:c r="K46" s="16" t="str"/>
      <x:c r="L46" s="16" t="str">
        <x:v>High</x:v>
      </x:c>
    </x:row>
    <x:row r="47">
      <x:c r="A47" s="16" t="str">
        <x:v>2026-06-01</x:v>
      </x:c>
      <x:c r="B47" s="16" t="str">
        <x:v>Hematology</x:v>
      </x:c>
      <x:c r="C47" s="16" t="str">
        <x:v>CBC</x:v>
      </x:c>
      <x:c r="D47" s="16" t="str">
        <x:v>Hemoglobin</x:v>
      </x:c>
      <x:c r="E47" s="16" t="n">
        <x:v>15.2</x:v>
      </x:c>
      <x:c r="F47" s="16" t="str">
        <x:v>g/dL</x:v>
      </x:c>
      <x:c r="G47" s="16" t="str">
        <x:v>13.5–17.2</x:v>
      </x:c>
      <x:c r="H47" s="16" t="str">
        <x:v>Normal</x:v>
      </x:c>
      <x:c r="I47" s="16" t="str">
        <x:v>No anemia signal.</x:v>
      </x:c>
      <x:c r="J47" s="16" t="str">
        <x:v>CHL lab data shared by user</x:v>
      </x:c>
      <x:c r="K47" s="16" t="str"/>
      <x:c r="L47" s="16" t="str">
        <x:v>High</x:v>
      </x:c>
    </x:row>
    <x:row r="48">
      <x:c r="A48" s="16" t="str">
        <x:v>2026-06-01</x:v>
      </x:c>
      <x:c r="B48" s="16" t="str">
        <x:v>Hematology</x:v>
      </x:c>
      <x:c r="C48" s="16" t="str">
        <x:v>CBC</x:v>
      </x:c>
      <x:c r="D48" s="16" t="str">
        <x:v>Hematocrit</x:v>
      </x:c>
      <x:c r="E48" s="16" t="n">
        <x:v>43.3</x:v>
      </x:c>
      <x:c r="F48" s="16" t="str">
        <x:v>%</x:v>
      </x:c>
      <x:c r="G48" s="16" t="str">
        <x:v>39.5–50.5</x:v>
      </x:c>
      <x:c r="H48" s="16" t="str">
        <x:v>Normal</x:v>
      </x:c>
      <x:c r="I48" s="16" t="str"/>
      <x:c r="J48" s="16" t="str">
        <x:v>CHL lab data shared by user</x:v>
      </x:c>
      <x:c r="K48" s="16" t="str"/>
      <x:c r="L48" s="16" t="str">
        <x:v>High</x:v>
      </x:c>
    </x:row>
    <x:row r="49">
      <x:c r="A49" s="16" t="str">
        <x:v>2026-06-01</x:v>
      </x:c>
      <x:c r="B49" s="16" t="str">
        <x:v>Hematology</x:v>
      </x:c>
      <x:c r="C49" s="16" t="str">
        <x:v>CBC</x:v>
      </x:c>
      <x:c r="D49" s="16" t="str">
        <x:v>MCV</x:v>
      </x:c>
      <x:c r="E49" s="16" t="n">
        <x:v>80.8</x:v>
      </x:c>
      <x:c r="F49" s="16" t="str">
        <x:v>fL</x:v>
      </x:c>
      <x:c r="G49" s="16" t="str">
        <x:v>80.0–99.0</x:v>
      </x:c>
      <x:c r="H49" s="16" t="str">
        <x:v>Low-normal</x:v>
      </x:c>
      <x:c r="I49" s="16" t="str">
        <x:v>Borderline microcytic tendency; interpret with B12 and iron studies.</x:v>
      </x:c>
      <x:c r="J49" s="16" t="str">
        <x:v>CHL lab data shared by user</x:v>
      </x:c>
      <x:c r="K49" s="16" t="str">
        <x:v>Review blood film if available.</x:v>
      </x:c>
      <x:c r="L49" s="16" t="str">
        <x:v>High</x:v>
      </x:c>
    </x:row>
    <x:row r="50">
      <x:c r="A50" s="16" t="str">
        <x:v>2026-06-01</x:v>
      </x:c>
      <x:c r="B50" s="16" t="str">
        <x:v>Hematology</x:v>
      </x:c>
      <x:c r="C50" s="16" t="str">
        <x:v>CBC</x:v>
      </x:c>
      <x:c r="D50" s="16" t="str">
        <x:v>Platelets</x:v>
      </x:c>
      <x:c r="E50" s="16" t="n">
        <x:v>261</x:v>
      </x:c>
      <x:c r="F50" s="16" t="str">
        <x:v>G/L</x:v>
      </x:c>
      <x:c r="G50" s="16" t="str">
        <x:v>150–370</x:v>
      </x:c>
      <x:c r="H50" s="16" t="str">
        <x:v>Normal</x:v>
      </x:c>
      <x:c r="I50" s="16" t="str">
        <x:v>No thrombocytopenia/thrombocytosis.</x:v>
      </x:c>
      <x:c r="J50" s="16" t="str">
        <x:v>CHL lab data shared by user</x:v>
      </x:c>
      <x:c r="K50" s="16" t="str"/>
      <x:c r="L50" s="16" t="str">
        <x:v>High</x:v>
      </x:c>
    </x:row>
    <x:row r="51">
      <x:c r="A51" s="16" t="str">
        <x:v>2026-06-01</x:v>
      </x:c>
      <x:c r="B51" s="16" t="str">
        <x:v>Hematology</x:v>
      </x:c>
      <x:c r="C51" s="16" t="str">
        <x:v>Differential</x:v>
      </x:c>
      <x:c r="D51" s="16" t="str">
        <x:v>Neutrophils</x:v>
      </x:c>
      <x:c r="E51" s="16" t="n">
        <x:v>3.93</x:v>
      </x:c>
      <x:c r="F51" s="16" t="str">
        <x:v>G/L</x:v>
      </x:c>
      <x:c r="G51" s="16" t="str">
        <x:v>1.50–7.70</x:v>
      </x:c>
      <x:c r="H51" s="16" t="str">
        <x:v>Normal</x:v>
      </x:c>
      <x:c r="I51" s="16" t="str"/>
      <x:c r="J51" s="16" t="str">
        <x:v>CHL lab data shared by user</x:v>
      </x:c>
      <x:c r="K51" s="16" t="str"/>
      <x:c r="L51" s="16" t="str">
        <x:v>High</x:v>
      </x:c>
    </x:row>
    <x:row r="52">
      <x:c r="A52" s="16" t="str">
        <x:v>2026-06-01</x:v>
      </x:c>
      <x:c r="B52" s="16" t="str">
        <x:v>Hematology</x:v>
      </x:c>
      <x:c r="C52" s="16" t="str">
        <x:v>Differential</x:v>
      </x:c>
      <x:c r="D52" s="16" t="str">
        <x:v>Lymphocytes</x:v>
      </x:c>
      <x:c r="E52" s="16" t="n">
        <x:v>2.05</x:v>
      </x:c>
      <x:c r="F52" s="16" t="str">
        <x:v>G/L</x:v>
      </x:c>
      <x:c r="G52" s="16" t="str">
        <x:v>1.10–4.50</x:v>
      </x:c>
      <x:c r="H52" s="16" t="str">
        <x:v>Normal</x:v>
      </x:c>
      <x:c r="I52" s="16" t="str">
        <x:v>Routine CBC lymphocytes normal; flow cytometry absolute lymphocytes 1.905 G/L also normal.</x:v>
      </x:c>
      <x:c r="J52" s="16" t="str">
        <x:v>CHL lab data shared by user</x:v>
      </x:c>
      <x:c r="K52" s="16" t="str"/>
      <x:c r="L52" s="16" t="str">
        <x:v>High</x:v>
      </x:c>
    </x:row>
    <x:row r="53">
      <x:c r="A53" s="16" t="str">
        <x:v>2026-06-01</x:v>
      </x:c>
      <x:c r="B53" s="16" t="str">
        <x:v>Hematology</x:v>
      </x:c>
      <x:c r="C53" s="16" t="str">
        <x:v>Differential</x:v>
      </x:c>
      <x:c r="D53" s="16" t="str">
        <x:v>Monocytes</x:v>
      </x:c>
      <x:c r="E53" s="16" t="n">
        <x:v>0.45</x:v>
      </x:c>
      <x:c r="F53" s="16" t="str">
        <x:v>G/L</x:v>
      </x:c>
      <x:c r="G53" s="16" t="str">
        <x:v>0.10–0.90</x:v>
      </x:c>
      <x:c r="H53" s="16" t="str">
        <x:v>Normal</x:v>
      </x:c>
      <x:c r="I53" s="16" t="str">
        <x:v>No monocytopenia in routine CBC.</x:v>
      </x:c>
      <x:c r="J53" s="16" t="str">
        <x:v>CHL lab data shared by user</x:v>
      </x:c>
      <x:c r="K53" s="16" t="str"/>
      <x:c r="L53" s="16" t="str">
        <x:v>High</x:v>
      </x:c>
    </x:row>
    <x:row r="54">
      <x:c r="A54" s="16" t="str">
        <x:v>2026-06-01</x:v>
      </x:c>
      <x:c r="B54" s="16" t="str">
        <x:v>Hematology</x:v>
      </x:c>
      <x:c r="C54" s="16" t="str">
        <x:v>Differential</x:v>
      </x:c>
      <x:c r="D54" s="16" t="str">
        <x:v>Eosinophils</x:v>
      </x:c>
      <x:c r="E54" s="16" t="n">
        <x:v>0.62</x:v>
      </x:c>
      <x:c r="F54" s="16" t="str">
        <x:v>G/L</x:v>
      </x:c>
      <x:c r="G54" s="16" t="str">
        <x:v>0.02–0.50</x:v>
      </x:c>
      <x:c r="H54" s="16" t="str">
        <x:v>High (mild)</x:v>
      </x:c>
      <x:c r="I54" s="16" t="str">
        <x:v>Mild persistent eosinophilia; less concerning than hypereosinophilia but relevant with high ECP and skin biopsy eosinophils.</x:v>
      </x:c>
      <x:c r="J54" s="16" t="str">
        <x:v>CHL lab data shared by user</x:v>
      </x:c>
      <x:c r="K54" s="16" t="str">
        <x:v>Trend over time.</x:v>
      </x:c>
      <x:c r="L54" s="16" t="str">
        <x:v>High</x:v>
      </x:c>
    </x:row>
    <x:row r="55">
      <x:c r="A55" s="16" t="str">
        <x:v>2026-06-01</x:v>
      </x:c>
      <x:c r="B55" s="16" t="str">
        <x:v>Hematology</x:v>
      </x:c>
      <x:c r="C55" s="16" t="str">
        <x:v>Differential</x:v>
      </x:c>
      <x:c r="D55" s="16" t="str">
        <x:v>Basophils</x:v>
      </x:c>
      <x:c r="E55" s="16" t="n">
        <x:v>0.06</x:v>
      </x:c>
      <x:c r="F55" s="16" t="str">
        <x:v>G/L</x:v>
      </x:c>
      <x:c r="G55" s="16" t="str">
        <x:v>&lt;0.20</x:v>
      </x:c>
      <x:c r="H55" s="16" t="str">
        <x:v>Normal</x:v>
      </x:c>
      <x:c r="I55" s="16" t="str"/>
      <x:c r="J55" s="16" t="str">
        <x:v>CHL lab data shared by user</x:v>
      </x:c>
      <x:c r="K55" s="16" t="str"/>
      <x:c r="L55" s="16" t="str">
        <x:v>High</x:v>
      </x:c>
    </x:row>
    <x:row r="56">
      <x:c r="A56" s="16" t="str">
        <x:v>2026-06-01</x:v>
      </x:c>
      <x:c r="B56" s="16" t="str">
        <x:v>Hematology</x:v>
      </x:c>
      <x:c r="C56" s="16" t="str">
        <x:v>Differential</x:v>
      </x:c>
      <x:c r="D56" s="16" t="str">
        <x:v>Immature granulocytes</x:v>
      </x:c>
      <x:c r="E56" s="16" t="n">
        <x:v>0.05</x:v>
      </x:c>
      <x:c r="F56" s="16" t="str">
        <x:v>G/L</x:v>
      </x:c>
      <x:c r="G56" s="16" t="str">
        <x:v>&lt;0.10</x:v>
      </x:c>
      <x:c r="H56" s="16" t="str">
        <x:v>Normal</x:v>
      </x:c>
      <x:c r="I56" s="16" t="str"/>
      <x:c r="J56" s="16" t="str">
        <x:v>CHL lab data shared by user</x:v>
      </x:c>
      <x:c r="K56" s="16" t="str"/>
      <x:c r="L56" s="16" t="str">
        <x:v>High</x:v>
      </x:c>
    </x:row>
    <x:row r="57">
      <x:c r="A57" s="16" t="str">
        <x:v>2026-06-01</x:v>
      </x:c>
      <x:c r="B57" s="16" t="str">
        <x:v>Hematology</x:v>
      </x:c>
      <x:c r="C57" s="16" t="str">
        <x:v>Reticulocytes</x:v>
      </x:c>
      <x:c r="D57" s="16" t="str">
        <x:v>Reticulocytes</x:v>
      </x:c>
      <x:c r="E57" s="16" t="n">
        <x:v>71.3</x:v>
      </x:c>
      <x:c r="F57" s="16" t="str">
        <x:v>G/L</x:v>
      </x:c>
      <x:c r="G57" s="16" t="str">
        <x:v>23.0–105.0</x:v>
      </x:c>
      <x:c r="H57" s="16" t="str">
        <x:v>Normal</x:v>
      </x:c>
      <x:c r="I57" s="16" t="str"/>
      <x:c r="J57" s="16" t="str">
        <x:v>CHL lab data shared by user</x:v>
      </x:c>
      <x:c r="K57" s="16" t="str"/>
      <x:c r="L57" s="16" t="str">
        <x:v>High</x:v>
      </x:c>
    </x:row>
    <x:row r="58">
      <x:c r="A58" s="16" t="str">
        <x:v>2026-06-01</x:v>
      </x:c>
      <x:c r="B58" s="16" t="str">
        <x:v>Hematology</x:v>
      </x:c>
      <x:c r="C58" s="16" t="str">
        <x:v>Blood film</x:v>
      </x:c>
      <x:c r="D58" s="16" t="str">
        <x:v>Blood film / smear review</x:v>
      </x:c>
      <x:c r="E58" s="16" t="str">
        <x:v>Reviewed under microscope</x:v>
      </x:c>
      <x:c r="F58" s="16" t="str"/>
      <x:c r="G58" s="16" t="str"/>
      <x:c r="H58" s="16" t="str">
        <x:v>Performed; details not shared</x:v>
      </x:c>
      <x:c r="I58" s="16" t="str">
        <x:v>Need the actual morphology comment if available.</x:v>
      </x:c>
      <x:c r="J58" s="16" t="str">
        <x:v>CHL lab data shared by user</x:v>
      </x:c>
      <x:c r="K58" s="16" t="str">
        <x:v>Request written blood film morphology details.</x:v>
      </x:c>
      <x:c r="L58" s="16" t="str">
        <x:v>Medium</x:v>
      </x:c>
    </x:row>
    <x:row r="59">
      <x:c r="A59" s="16" t="str">
        <x:v>2026-06-01</x:v>
      </x:c>
      <x:c r="B59" s="16" t="str">
        <x:v>Inflammation</x:v>
      </x:c>
      <x:c r="C59" s="16" t="str">
        <x:v>Inflammatory marker</x:v>
      </x:c>
      <x:c r="D59" s="16" t="str">
        <x:v>ESR 1 hour</x:v>
      </x:c>
      <x:c r="E59" s="16" t="n">
        <x:v>25</x:v>
      </x:c>
      <x:c r="F59" s="16" t="str">
        <x:v>mm/h</x:v>
      </x:c>
      <x:c r="G59" s="16" t="str">
        <x:v>0–11</x:v>
      </x:c>
      <x:c r="H59" s="16" t="str">
        <x:v>High</x:v>
      </x:c>
      <x:c r="I59" s="16" t="str">
        <x:v>Objective inflammatory signal but nonspecific.</x:v>
      </x:c>
      <x:c r="J59" s="16" t="str">
        <x:v>CHL lab data shared by user</x:v>
      </x:c>
      <x:c r="K59" s="16" t="str">
        <x:v>Interpret with imaging, symptoms, and biopsy.</x:v>
      </x:c>
      <x:c r="L59" s="16" t="str">
        <x:v>High</x:v>
      </x:c>
    </x:row>
    <x:row r="60">
      <x:c r="A60" s="16" t="str">
        <x:v>2026-06-01</x:v>
      </x:c>
      <x:c r="B60" s="16" t="str">
        <x:v>Inflammation</x:v>
      </x:c>
      <x:c r="C60" s="16" t="str">
        <x:v>Inflammatory marker</x:v>
      </x:c>
      <x:c r="D60" s="16" t="str">
        <x:v>CRP</x:v>
      </x:c>
      <x:c r="E60" s="16" t="n">
        <x:v>2.37</x:v>
      </x:c>
      <x:c r="F60" s="16" t="str">
        <x:v>mg/L</x:v>
      </x:c>
      <x:c r="G60" s="16" t="str">
        <x:v>&lt;5.0</x:v>
      </x:c>
      <x:c r="H60" s="16" t="str">
        <x:v>Normal</x:v>
      </x:c>
      <x:c r="I60" s="16" t="str">
        <x:v>Normal CRP does not exclude active axSpA or tissue-specific inflammation.</x:v>
      </x:c>
      <x:c r="J60" s="16" t="str">
        <x:v>CHL lab data shared by user</x:v>
      </x:c>
      <x:c r="K60" s="16" t="str"/>
      <x:c r="L60" s="16" t="str">
        <x:v>High</x:v>
      </x:c>
    </x:row>
    <x:row r="61">
      <x:c r="A61" s="16" t="str">
        <x:v>2026-06-01</x:v>
      </x:c>
      <x:c r="B61" s="16" t="str">
        <x:v>Inflammation</x:v>
      </x:c>
      <x:c r="C61" s="16" t="str">
        <x:v>Coagulation/inflammation</x:v>
      </x:c>
      <x:c r="D61" s="16" t="str">
        <x:v>Fibrinogen</x:v>
      </x:c>
      <x:c r="E61" s="16" t="n">
        <x:v>1.96</x:v>
      </x:c>
      <x:c r="F61" s="16" t="str">
        <x:v>g/L</x:v>
      </x:c>
      <x:c r="G61" s="16" t="str">
        <x:v>1.70–4.20</x:v>
      </x:c>
      <x:c r="H61" s="16" t="str">
        <x:v>Normal</x:v>
      </x:c>
      <x:c r="I61" s="16" t="str"/>
      <x:c r="J61" s="16" t="str">
        <x:v>CHL lab data shared by user</x:v>
      </x:c>
      <x:c r="K61" s="16" t="str"/>
      <x:c r="L61" s="16" t="str">
        <x:v>High</x:v>
      </x:c>
    </x:row>
    <x:row r="62">
      <x:c r="A62" s="16" t="str">
        <x:v>2026-06-01</x:v>
      </x:c>
      <x:c r="B62" s="16" t="str">
        <x:v>Biochemistry</x:v>
      </x:c>
      <x:c r="C62" s="16" t="str">
        <x:v>Glucose metabolism</x:v>
      </x:c>
      <x:c r="D62" s="16" t="str">
        <x:v>Glucose</x:v>
      </x:c>
      <x:c r="E62" s="16" t="n">
        <x:v>96</x:v>
      </x:c>
      <x:c r="F62" s="16" t="str">
        <x:v>mg/dL</x:v>
      </x:c>
      <x:c r="G62" s="16" t="str">
        <x:v>70–100</x:v>
      </x:c>
      <x:c r="H62" s="16" t="str">
        <x:v>Normal</x:v>
      </x:c>
      <x:c r="I62" s="16" t="str">
        <x:v>Diabetes mellitus unlikely cause of polyuria.</x:v>
      </x:c>
      <x:c r="J62" s="16" t="str">
        <x:v>CHL lab data shared by user</x:v>
      </x:c>
      <x:c r="K62" s="16" t="str"/>
      <x:c r="L62" s="16" t="str">
        <x:v>High</x:v>
      </x:c>
    </x:row>
    <x:row r="63">
      <x:c r="A63" s="16" t="str">
        <x:v>2026-06-01</x:v>
      </x:c>
      <x:c r="B63" s="16" t="str">
        <x:v>Biochemistry</x:v>
      </x:c>
      <x:c r="C63" s="16" t="str">
        <x:v>Renal</x:v>
      </x:c>
      <x:c r="D63" s="16" t="str">
        <x:v>Urea</x:v>
      </x:c>
      <x:c r="E63" s="16" t="n">
        <x:v>19</x:v>
      </x:c>
      <x:c r="F63" s="16" t="str">
        <x:v>mg/dL</x:v>
      </x:c>
      <x:c r="G63" s="16" t="str">
        <x:v>17–48</x:v>
      </x:c>
      <x:c r="H63" s="16" t="str">
        <x:v>Normal</x:v>
      </x:c>
      <x:c r="I63" s="16" t="str"/>
      <x:c r="J63" s="16" t="str">
        <x:v>CHL lab data shared by user</x:v>
      </x:c>
      <x:c r="K63" s="16" t="str"/>
      <x:c r="L63" s="16" t="str">
        <x:v>High</x:v>
      </x:c>
    </x:row>
    <x:row r="64">
      <x:c r="A64" s="16" t="str">
        <x:v>2026-06-01</x:v>
      </x:c>
      <x:c r="B64" s="16" t="str">
        <x:v>Biochemistry</x:v>
      </x:c>
      <x:c r="C64" s="16" t="str">
        <x:v>Renal</x:v>
      </x:c>
      <x:c r="D64" s="16" t="str">
        <x:v>Creatinine</x:v>
      </x:c>
      <x:c r="E64" s="16" t="n">
        <x:v>0.69</x:v>
      </x:c>
      <x:c r="F64" s="16" t="str">
        <x:v>mg/dL</x:v>
      </x:c>
      <x:c r="G64" s="16" t="str">
        <x:v>0.67–1.17</x:v>
      </x:c>
      <x:c r="H64" s="16" t="str">
        <x:v>Normal</x:v>
      </x:c>
      <x:c r="I64" s="16" t="str">
        <x:v>Kidney filtration appears normal.</x:v>
      </x:c>
      <x:c r="J64" s="16" t="str">
        <x:v>CHL lab data shared by user</x:v>
      </x:c>
      <x:c r="K64" s="16" t="str"/>
      <x:c r="L64" s="16" t="str">
        <x:v>High</x:v>
      </x:c>
    </x:row>
    <x:row r="65">
      <x:c r="A65" s="16" t="str">
        <x:v>2026-06-01</x:v>
      </x:c>
      <x:c r="B65" s="16" t="str">
        <x:v>Biochemistry</x:v>
      </x:c>
      <x:c r="C65" s="16" t="str">
        <x:v>Renal</x:v>
      </x:c>
      <x:c r="D65" s="16" t="str">
        <x:v>eGFR CKD-EPI</x:v>
      </x:c>
      <x:c r="E65" s="16" t="n">
        <x:v>116.6</x:v>
      </x:c>
      <x:c r="F65" s="16" t="str">
        <x:v>mL/min</x:v>
      </x:c>
      <x:c r="G65" s="16" t="str">
        <x:v>&gt;60</x:v>
      </x:c>
      <x:c r="H65" s="16" t="str">
        <x:v>Normal/high</x:v>
      </x:c>
      <x:c r="I65" s="16" t="str">
        <x:v>No kidney failure signal.</x:v>
      </x:c>
      <x:c r="J65" s="16" t="str">
        <x:v>CHL lab data shared by user</x:v>
      </x:c>
      <x:c r="K65" s="16" t="str"/>
      <x:c r="L65" s="16" t="str">
        <x:v>High</x:v>
      </x:c>
    </x:row>
    <x:row r="66">
      <x:c r="A66" s="16" t="str">
        <x:v>2026-06-01</x:v>
      </x:c>
      <x:c r="B66" s="16" t="str">
        <x:v>Biochemistry</x:v>
      </x:c>
      <x:c r="C66" s="16" t="str">
        <x:v>Electrolytes</x:v>
      </x:c>
      <x:c r="D66" s="16" t="str">
        <x:v>Sodium</x:v>
      </x:c>
      <x:c r="E66" s="16" t="n">
        <x:v>139</x:v>
      </x:c>
      <x:c r="F66" s="16" t="str">
        <x:v>mmol/L</x:v>
      </x:c>
      <x:c r="G66" s="16" t="str">
        <x:v>136–145</x:v>
      </x:c>
      <x:c r="H66" s="16" t="str">
        <x:v>Normal</x:v>
      </x:c>
      <x:c r="I66" s="16" t="str">
        <x:v>No hypernatremia at this time despite polyuria.</x:v>
      </x:c>
      <x:c r="J66" s="16" t="str">
        <x:v>CHL lab data shared by user</x:v>
      </x:c>
      <x:c r="K66" s="16" t="str">
        <x:v>Repeat with serum/urine osmolality.</x:v>
      </x:c>
      <x:c r="L66" s="16" t="str">
        <x:v>High</x:v>
      </x:c>
    </x:row>
    <x:row r="67">
      <x:c r="A67" s="16" t="str">
        <x:v>2026-06-01</x:v>
      </x:c>
      <x:c r="B67" s="16" t="str">
        <x:v>Biochemistry</x:v>
      </x:c>
      <x:c r="C67" s="16" t="str">
        <x:v>Electrolytes</x:v>
      </x:c>
      <x:c r="D67" s="16" t="str">
        <x:v>Potassium</x:v>
      </x:c>
      <x:c r="E67" s="16" t="n">
        <x:v>4.6</x:v>
      </x:c>
      <x:c r="F67" s="16" t="str">
        <x:v>mmol/L</x:v>
      </x:c>
      <x:c r="G67" s="16" t="str">
        <x:v>3.5–5.1</x:v>
      </x:c>
      <x:c r="H67" s="16" t="str">
        <x:v>Normal</x:v>
      </x:c>
      <x:c r="I67" s="16" t="str"/>
      <x:c r="J67" s="16" t="str">
        <x:v>CHL lab data shared by user</x:v>
      </x:c>
      <x:c r="K67" s="16" t="str"/>
      <x:c r="L67" s="16" t="str">
        <x:v>High</x:v>
      </x:c>
    </x:row>
    <x:row r="68">
      <x:c r="A68" s="16" t="str">
        <x:v>2026-06-01</x:v>
      </x:c>
      <x:c r="B68" s="16" t="str">
        <x:v>Biochemistry</x:v>
      </x:c>
      <x:c r="C68" s="16" t="str">
        <x:v>Electrolytes</x:v>
      </x:c>
      <x:c r="D68" s="16" t="str">
        <x:v>Chloride</x:v>
      </x:c>
      <x:c r="E68" s="16" t="n">
        <x:v>106</x:v>
      </x:c>
      <x:c r="F68" s="16" t="str">
        <x:v>mmol/L</x:v>
      </x:c>
      <x:c r="G68" s="16" t="str">
        <x:v>98–107</x:v>
      </x:c>
      <x:c r="H68" s="16" t="str">
        <x:v>Normal</x:v>
      </x:c>
      <x:c r="I68" s="16" t="str"/>
      <x:c r="J68" s="16" t="str">
        <x:v>CHL lab data shared by user</x:v>
      </x:c>
      <x:c r="K68" s="16" t="str"/>
      <x:c r="L68" s="16" t="str">
        <x:v>High</x:v>
      </x:c>
    </x:row>
    <x:row r="69">
      <x:c r="A69" s="16" t="str">
        <x:v>2026-06-01</x:v>
      </x:c>
      <x:c r="B69" s="16" t="str">
        <x:v>Biochemistry</x:v>
      </x:c>
      <x:c r="C69" s="16" t="str">
        <x:v>Minerals</x:v>
      </x:c>
      <x:c r="D69" s="16" t="str">
        <x:v>Calcium</x:v>
      </x:c>
      <x:c r="E69" s="16" t="n">
        <x:v>9.9</x:v>
      </x:c>
      <x:c r="F69" s="16" t="str">
        <x:v>mg/dL</x:v>
      </x:c>
      <x:c r="G69" s="16" t="str">
        <x:v>8.6–10.0</x:v>
      </x:c>
      <x:c r="H69" s="16" t="str">
        <x:v>High-normal</x:v>
      </x:c>
      <x:c r="I69" s="16" t="str">
        <x:v>No hypercalcemia driving polyuria.</x:v>
      </x:c>
      <x:c r="J69" s="16" t="str">
        <x:v>CHL lab data shared by user</x:v>
      </x:c>
      <x:c r="K69" s="16" t="str"/>
      <x:c r="L69" s="16" t="str">
        <x:v>High</x:v>
      </x:c>
    </x:row>
    <x:row r="70">
      <x:c r="A70" s="16" t="str">
        <x:v>2026-06-01</x:v>
      </x:c>
      <x:c r="B70" s="16" t="str">
        <x:v>Biochemistry</x:v>
      </x:c>
      <x:c r="C70" s="16" t="str">
        <x:v>Minerals</x:v>
      </x:c>
      <x:c r="D70" s="16" t="str">
        <x:v>Phosphate</x:v>
      </x:c>
      <x:c r="E70" s="16" t="n">
        <x:v>3.5</x:v>
      </x:c>
      <x:c r="F70" s="16" t="str">
        <x:v>mg/dL</x:v>
      </x:c>
      <x:c r="G70" s="16" t="str">
        <x:v>2.5–4.5</x:v>
      </x:c>
      <x:c r="H70" s="16" t="str">
        <x:v>Normal</x:v>
      </x:c>
      <x:c r="I70" s="16" t="str"/>
      <x:c r="J70" s="16" t="str">
        <x:v>CHL lab data shared by user</x:v>
      </x:c>
      <x:c r="K70" s="16" t="str"/>
      <x:c r="L70" s="16" t="str">
        <x:v>High</x:v>
      </x:c>
    </x:row>
    <x:row r="71">
      <x:c r="A71" s="16" t="str">
        <x:v>2026-06-01</x:v>
      </x:c>
      <x:c r="B71" s="16" t="str">
        <x:v>Biochemistry</x:v>
      </x:c>
      <x:c r="C71" s="16" t="str">
        <x:v>Minerals</x:v>
      </x:c>
      <x:c r="D71" s="16" t="str">
        <x:v>Magnesium</x:v>
      </x:c>
      <x:c r="E71" s="16" t="n">
        <x:v>2.3</x:v>
      </x:c>
      <x:c r="F71" s="16" t="str">
        <x:v>mg/dL</x:v>
      </x:c>
      <x:c r="G71" s="16" t="str">
        <x:v>1.6–2.6</x:v>
      </x:c>
      <x:c r="H71" s="16" t="str">
        <x:v>Normal</x:v>
      </x:c>
      <x:c r="I71" s="16" t="str"/>
      <x:c r="J71" s="16" t="str">
        <x:v>CHL lab data shared by user</x:v>
      </x:c>
      <x:c r="K71" s="16" t="str"/>
      <x:c r="L71" s="16" t="str">
        <x:v>High</x:v>
      </x:c>
    </x:row>
    <x:row r="72">
      <x:c r="A72" s="16" t="str">
        <x:v>2026-06-01</x:v>
      </x:c>
      <x:c r="B72" s="16" t="str">
        <x:v>Lipid profile</x:v>
      </x:c>
      <x:c r="C72" s="16" t="str">
        <x:v>Cardiovascular risk</x:v>
      </x:c>
      <x:c r="D72" s="16" t="str">
        <x:v>Total cholesterol</x:v>
      </x:c>
      <x:c r="E72" s="16" t="n">
        <x:v>247</x:v>
      </x:c>
      <x:c r="F72" s="16" t="str">
        <x:v>mg/dL</x:v>
      </x:c>
      <x:c r="G72" s="16" t="str">
        <x:v>130–200</x:v>
      </x:c>
      <x:c r="H72" s="16" t="str">
        <x:v>High</x:v>
      </x:c>
      <x:c r="I72" s="16" t="str">
        <x:v>Atherogenic risk context, especially with chronic inflammatory disease.</x:v>
      </x:c>
      <x:c r="J72" s="16" t="str">
        <x:v>CHL lab data shared by user</x:v>
      </x:c>
      <x:c r="K72" s="16" t="str">
        <x:v>CV risk/statin discussion.</x:v>
      </x:c>
      <x:c r="L72" s="16" t="str">
        <x:v>High</x:v>
      </x:c>
    </x:row>
    <x:row r="73">
      <x:c r="A73" s="16" t="str">
        <x:v>2026-06-01</x:v>
      </x:c>
      <x:c r="B73" s="16" t="str">
        <x:v>Lipid profile</x:v>
      </x:c>
      <x:c r="C73" s="16" t="str">
        <x:v>Cardiovascular risk</x:v>
      </x:c>
      <x:c r="D73" s="16" t="str">
        <x:v>HDL cholesterol</x:v>
      </x:c>
      <x:c r="E73" s="16" t="n">
        <x:v>60</x:v>
      </x:c>
      <x:c r="F73" s="16" t="str">
        <x:v>mg/dL</x:v>
      </x:c>
      <x:c r="G73" s="16" t="str">
        <x:v>&gt;40</x:v>
      </x:c>
      <x:c r="H73" s="16" t="str">
        <x:v>Normal/reassuring</x:v>
      </x:c>
      <x:c r="I73" s="16" t="str"/>
      <x:c r="J73" s="16" t="str">
        <x:v>CHL lab data shared by user</x:v>
      </x:c>
      <x:c r="K73" s="16" t="str"/>
      <x:c r="L73" s="16" t="str">
        <x:v>High</x:v>
      </x:c>
    </x:row>
    <x:row r="74">
      <x:c r="A74" s="16" t="str">
        <x:v>2026-06-01</x:v>
      </x:c>
      <x:c r="B74" s="16" t="str">
        <x:v>Lipid profile</x:v>
      </x:c>
      <x:c r="C74" s="16" t="str">
        <x:v>Cardiovascular risk</x:v>
      </x:c>
      <x:c r="D74" s="16" t="str">
        <x:v>LDL cholesterol</x:v>
      </x:c>
      <x:c r="E74" s="16" t="n">
        <x:v>169</x:v>
      </x:c>
      <x:c r="F74" s="16" t="str">
        <x:v>mg/dL</x:v>
      </x:c>
      <x:c r="G74" s="16" t="str">
        <x:v>Risk target depends on risk category</x:v>
      </x:c>
      <x:c r="H74" s="16" t="str">
        <x:v>High</x:v>
      </x:c>
      <x:c r="I74" s="16" t="str">
        <x:v>Concrete long-term cardiovascular risk; not explained away by axSpA alone.</x:v>
      </x:c>
      <x:c r="J74" s="16" t="str">
        <x:v>CHL lab data shared by user</x:v>
      </x:c>
      <x:c r="K74" s="16" t="str">
        <x:v>Discuss lipid-lowering strategy.</x:v>
      </x:c>
      <x:c r="L74" s="16" t="str">
        <x:v>High</x:v>
      </x:c>
    </x:row>
    <x:row r="75">
      <x:c r="A75" s="16" t="str">
        <x:v>2026-06-01</x:v>
      </x:c>
      <x:c r="B75" s="16" t="str">
        <x:v>Lipid profile</x:v>
      </x:c>
      <x:c r="C75" s="16" t="str">
        <x:v>Cardiovascular risk</x:v>
      </x:c>
      <x:c r="D75" s="16" t="str">
        <x:v>Non-HDL cholesterol</x:v>
      </x:c>
      <x:c r="E75" s="16" t="n">
        <x:v>186</x:v>
      </x:c>
      <x:c r="F75" s="16" t="str">
        <x:v>mg/dL</x:v>
      </x:c>
      <x:c r="G75" s="16" t="str">
        <x:v>Risk target depends on risk category</x:v>
      </x:c>
      <x:c r="H75" s="16" t="str">
        <x:v>High</x:v>
      </x:c>
      <x:c r="I75" s="16" t="str">
        <x:v>Captures atherogenic particles/remnants.</x:v>
      </x:c>
      <x:c r="J75" s="16" t="str">
        <x:v>CHL lab data shared by user</x:v>
      </x:c>
      <x:c r="K75" s="16" t="str">
        <x:v>CV risk management.</x:v>
      </x:c>
      <x:c r="L75" s="16" t="str">
        <x:v>High</x:v>
      </x:c>
    </x:row>
    <x:row r="76">
      <x:c r="A76" s="16" t="str">
        <x:v>2026-06-01</x:v>
      </x:c>
      <x:c r="B76" s="16" t="str">
        <x:v>Lipid profile</x:v>
      </x:c>
      <x:c r="C76" s="16" t="str">
        <x:v>Cardiovascular risk</x:v>
      </x:c>
      <x:c r="D76" s="16" t="str">
        <x:v>Triglycerides</x:v>
      </x:c>
      <x:c r="E76" s="16" t="n">
        <x:v>198</x:v>
      </x:c>
      <x:c r="F76" s="16" t="str">
        <x:v>mg/dL</x:v>
      </x:c>
      <x:c r="G76" s="16" t="str">
        <x:v>&lt;150</x:v>
      </x:c>
      <x:c r="H76" s="16" t="str">
        <x:v>High</x:v>
      </x:c>
      <x:c r="I76" s="16" t="str">
        <x:v>Could reflect metabolic/remnant particle risk.</x:v>
      </x:c>
      <x:c r="J76" s="16" t="str">
        <x:v>CHL lab data shared by user</x:v>
      </x:c>
      <x:c r="K76" s="16" t="str">
        <x:v>Repeat fasting and manage risk factors.</x:v>
      </x:c>
      <x:c r="L76" s="16" t="str">
        <x:v>High</x:v>
      </x:c>
    </x:row>
    <x:row r="77">
      <x:c r="A77" s="16" t="str">
        <x:v>2026-06-01</x:v>
      </x:c>
      <x:c r="B77" s="16" t="str">
        <x:v>Lipid profile</x:v>
      </x:c>
      <x:c r="C77" s="16" t="str">
        <x:v>Cardiovascular risk</x:v>
      </x:c>
      <x:c r="D77" s="16" t="str">
        <x:v>Lipoprotein(a)</x:v>
      </x:c>
      <x:c r="E77" s="16" t="str">
        <x:v>&lt;7</x:v>
      </x:c>
      <x:c r="F77" s="16" t="str">
        <x:v>nmol/L</x:v>
      </x:c>
      <x:c r="G77" s="16" t="str">
        <x:v>&lt;75</x:v>
      </x:c>
      <x:c r="H77" s="16" t="str">
        <x:v>Low/reassuring</x:v>
      </x:c>
      <x:c r="I77" s="16" t="str">
        <x:v>Lp(a) is not main risk driver.</x:v>
      </x:c>
      <x:c r="J77" s="16" t="str">
        <x:v>CHL lab data shared by user</x:v>
      </x:c>
      <x:c r="K77" s="16" t="str"/>
      <x:c r="L77" s="16" t="str">
        <x:v>High</x:v>
      </x:c>
    </x:row>
    <x:row r="78">
      <x:c r="A78" s="16" t="str">
        <x:v>2026-06-01</x:v>
      </x:c>
      <x:c r="B78" s="16" t="str">
        <x:v>Lipid profile</x:v>
      </x:c>
      <x:c r="C78" s="16" t="str">
        <x:v>Cardiovascular risk</x:v>
      </x:c>
      <x:c r="D78" s="16" t="str">
        <x:v>Apolipoprotein B</x:v>
      </x:c>
      <x:c r="E78" s="16" t="n">
        <x:v>1.19</x:v>
      </x:c>
      <x:c r="F78" s="16" t="str">
        <x:v>g/L</x:v>
      </x:c>
      <x:c r="G78" s="16" t="str">
        <x:v>0.66–1.33 lab range</x:v>
      </x:c>
      <x:c r="H78" s="16" t="str">
        <x:v>Within lab range; clinically not optimal if high CV risk</x:v>
      </x:c>
      <x:c r="I78" s="16" t="str">
        <x:v>Atherogenic particle burden; risk target may be lower depending on risk category.</x:v>
      </x:c>
      <x:c r="J78" s="16" t="str">
        <x:v>Lab image/report shared by user</x:v>
      </x:c>
      <x:c r="K78" s="16" t="str">
        <x:v>Discuss risk-category target.</x:v>
      </x:c>
      <x:c r="L78" s="16" t="str">
        <x:v>High</x:v>
      </x:c>
    </x:row>
    <x:row r="79">
      <x:c r="A79" s="16" t="str">
        <x:v>2026-06-01</x:v>
      </x:c>
      <x:c r="B79" s="16" t="str">
        <x:v>Biochemistry</x:v>
      </x:c>
      <x:c r="C79" s="16" t="str">
        <x:v>Liver</x:v>
      </x:c>
      <x:c r="D79" s="16" t="str">
        <x:v>Bilirubin total</x:v>
      </x:c>
      <x:c r="E79" s="16" t="n">
        <x:v>0.37</x:v>
      </x:c>
      <x:c r="F79" s="16" t="str">
        <x:v>mg/dL</x:v>
      </x:c>
      <x:c r="G79" s="16" t="str">
        <x:v>&lt;1.20</x:v>
      </x:c>
      <x:c r="H79" s="16" t="str">
        <x:v>Normal</x:v>
      </x:c>
      <x:c r="I79" s="16" t="str"/>
      <x:c r="J79" s="16" t="str">
        <x:v>CHL lab data shared by user</x:v>
      </x:c>
      <x:c r="K79" s="16" t="str"/>
      <x:c r="L79" s="16" t="str">
        <x:v>High</x:v>
      </x:c>
    </x:row>
    <x:row r="80">
      <x:c r="A80" s="16" t="str">
        <x:v>2026-06-01</x:v>
      </x:c>
      <x:c r="B80" s="16" t="str">
        <x:v>Biochemistry</x:v>
      </x:c>
      <x:c r="C80" s="16" t="str">
        <x:v>Liver</x:v>
      </x:c>
      <x:c r="D80" s="16" t="str">
        <x:v>AST / GOT</x:v>
      </x:c>
      <x:c r="E80" s="16" t="n">
        <x:v>39</x:v>
      </x:c>
      <x:c r="F80" s="16" t="str">
        <x:v>U/L</x:v>
      </x:c>
      <x:c r="G80" s="16" t="str">
        <x:v>&lt;50</x:v>
      </x:c>
      <x:c r="H80" s="16" t="str">
        <x:v>Normal</x:v>
      </x:c>
      <x:c r="I80" s="16" t="str"/>
      <x:c r="J80" s="16" t="str">
        <x:v>CHL lab data shared by user</x:v>
      </x:c>
      <x:c r="K80" s="16" t="str"/>
      <x:c r="L80" s="16" t="str">
        <x:v>High</x:v>
      </x:c>
    </x:row>
    <x:row r="81">
      <x:c r="A81" s="16" t="str">
        <x:v>2026-06-01</x:v>
      </x:c>
      <x:c r="B81" s="16" t="str">
        <x:v>Biochemistry</x:v>
      </x:c>
      <x:c r="C81" s="16" t="str">
        <x:v>Liver</x:v>
      </x:c>
      <x:c r="D81" s="16" t="str">
        <x:v>ALT / GPT</x:v>
      </x:c>
      <x:c r="E81" s="16" t="n">
        <x:v>46</x:v>
      </x:c>
      <x:c r="F81" s="16" t="str">
        <x:v>U/L</x:v>
      </x:c>
      <x:c r="G81" s="16" t="str">
        <x:v>&lt;50</x:v>
      </x:c>
      <x:c r="H81" s="16" t="str">
        <x:v>Normal</x:v>
      </x:c>
      <x:c r="I81" s="16" t="str"/>
      <x:c r="J81" s="16" t="str">
        <x:v>CHL lab data shared by user</x:v>
      </x:c>
      <x:c r="K81" s="16" t="str"/>
      <x:c r="L81" s="16" t="str">
        <x:v>High</x:v>
      </x:c>
    </x:row>
    <x:row r="82">
      <x:c r="A82" s="16" t="str">
        <x:v>2026-06-01</x:v>
      </x:c>
      <x:c r="B82" s="16" t="str">
        <x:v>Biochemistry</x:v>
      </x:c>
      <x:c r="C82" s="16" t="str">
        <x:v>Liver</x:v>
      </x:c>
      <x:c r="D82" s="16" t="str">
        <x:v>Alkaline phosphatase</x:v>
      </x:c>
      <x:c r="E82" s="16" t="n">
        <x:v>91</x:v>
      </x:c>
      <x:c r="F82" s="16" t="str">
        <x:v>U/L</x:v>
      </x:c>
      <x:c r="G82" s="16" t="str">
        <x:v>40–129</x:v>
      </x:c>
      <x:c r="H82" s="16" t="str">
        <x:v>Normal</x:v>
      </x:c>
      <x:c r="I82" s="16" t="str"/>
      <x:c r="J82" s="16" t="str">
        <x:v>CHL lab data shared by user</x:v>
      </x:c>
      <x:c r="K82" s="16" t="str"/>
      <x:c r="L82" s="16" t="str">
        <x:v>High</x:v>
      </x:c>
    </x:row>
    <x:row r="83">
      <x:c r="A83" s="16" t="str">
        <x:v>2026-06-01</x:v>
      </x:c>
      <x:c r="B83" s="16" t="str">
        <x:v>Biochemistry</x:v>
      </x:c>
      <x:c r="C83" s="16" t="str">
        <x:v>Liver</x:v>
      </x:c>
      <x:c r="D83" s="16" t="str">
        <x:v>Gamma GT</x:v>
      </x:c>
      <x:c r="E83" s="16" t="n">
        <x:v>30</x:v>
      </x:c>
      <x:c r="F83" s="16" t="str">
        <x:v>U/L</x:v>
      </x:c>
      <x:c r="G83" s="16" t="str">
        <x:v>&lt;60</x:v>
      </x:c>
      <x:c r="H83" s="16" t="str">
        <x:v>Normal</x:v>
      </x:c>
      <x:c r="I83" s="16" t="str"/>
      <x:c r="J83" s="16" t="str">
        <x:v>CHL lab data shared by user</x:v>
      </x:c>
      <x:c r="K83" s="16" t="str"/>
      <x:c r="L83" s="16" t="str">
        <x:v>High</x:v>
      </x:c>
    </x:row>
    <x:row r="84">
      <x:c r="A84" s="16" t="str">
        <x:v>2026-06-01</x:v>
      </x:c>
      <x:c r="B84" s="16" t="str">
        <x:v>Biochemistry</x:v>
      </x:c>
      <x:c r="C84" s="16" t="str">
        <x:v>Cell turnover</x:v>
      </x:c>
      <x:c r="D84" s="16" t="str">
        <x:v>LDH</x:v>
      </x:c>
      <x:c r="E84" s="16" t="n">
        <x:v>168</x:v>
      </x:c>
      <x:c r="F84" s="16" t="str">
        <x:v>U/L</x:v>
      </x:c>
      <x:c r="G84" s="16" t="str">
        <x:v>135–225</x:v>
      </x:c>
      <x:c r="H84" s="16" t="str">
        <x:v>Normal</x:v>
      </x:c>
      <x:c r="I84" s="16" t="str">
        <x:v>Reassuring against high turnover/tissue breakdown signal.</x:v>
      </x:c>
      <x:c r="J84" s="16" t="str">
        <x:v>CHL lab data shared by user</x:v>
      </x:c>
      <x:c r="K84" s="16" t="str"/>
      <x:c r="L84" s="16" t="str">
        <x:v>High</x:v>
      </x:c>
    </x:row>
    <x:row r="85">
      <x:c r="A85" s="16" t="str">
        <x:v>2026-06-01</x:v>
      </x:c>
      <x:c r="B85" s="16" t="str">
        <x:v>Biochemistry</x:v>
      </x:c>
      <x:c r="C85" s="16" t="str">
        <x:v>Muscle enzyme</x:v>
      </x:c>
      <x:c r="D85" s="16" t="str">
        <x:v>CPK / CK</x:v>
      </x:c>
      <x:c r="E85" s="16" t="n">
        <x:v>381</x:v>
      </x:c>
      <x:c r="F85" s="16" t="str">
        <x:v>U/L</x:v>
      </x:c>
      <x:c r="G85" s="16" t="str">
        <x:v>&lt;190</x:v>
      </x:c>
      <x:c r="H85" s="16" t="str">
        <x:v>High</x:v>
      </x:c>
      <x:c r="I85" s="16" t="str">
        <x:v>Needs repeat after rest; if persistent, evaluate muscle/myositis/cardiac source as clinically indicated.</x:v>
      </x:c>
      <x:c r="J85" s="16" t="str">
        <x:v>CHL lab data shared by user</x:v>
      </x:c>
      <x:c r="K85" s="16" t="str">
        <x:v>Repeat CK, aldolase; consider myositis panel if persistent or symptoms fit.</x:v>
      </x:c>
      <x:c r="L85" s="16" t="str">
        <x:v>High</x:v>
      </x:c>
    </x:row>
    <x:row r="86">
      <x:c r="A86" s="16" t="str">
        <x:v>2026-06-01</x:v>
      </x:c>
      <x:c r="B86" s="16" t="str">
        <x:v>Iron studies</x:v>
      </x:c>
      <x:c r="C86" s="16" t="str">
        <x:v>Iron metabolism</x:v>
      </x:c>
      <x:c r="D86" s="16" t="str">
        <x:v>Serum iron</x:v>
      </x:c>
      <x:c r="E86" s="16" t="n">
        <x:v>92</x:v>
      </x:c>
      <x:c r="F86" s="16" t="str">
        <x:v>µg/dL</x:v>
      </x:c>
      <x:c r="G86" s="16" t="str">
        <x:v>59–158</x:v>
      </x:c>
      <x:c r="H86" s="16" t="str">
        <x:v>Normal</x:v>
      </x:c>
      <x:c r="I86" s="16" t="str"/>
      <x:c r="J86" s="16" t="str">
        <x:v>CHL lab data shared by user</x:v>
      </x:c>
      <x:c r="K86" s="16" t="str"/>
      <x:c r="L86" s="16" t="str">
        <x:v>High</x:v>
      </x:c>
    </x:row>
    <x:row r="87">
      <x:c r="A87" s="16" t="str">
        <x:v>2026-06-01</x:v>
      </x:c>
      <x:c r="B87" s="16" t="str">
        <x:v>Iron studies</x:v>
      </x:c>
      <x:c r="C87" s="16" t="str">
        <x:v>Iron metabolism</x:v>
      </x:c>
      <x:c r="D87" s="16" t="str">
        <x:v>Transferrin</x:v>
      </x:c>
      <x:c r="E87" s="16" t="n">
        <x:v>3.2</x:v>
      </x:c>
      <x:c r="F87" s="16" t="str">
        <x:v>g/L</x:v>
      </x:c>
      <x:c r="G87" s="16" t="str">
        <x:v>2.00–3.60</x:v>
      </x:c>
      <x:c r="H87" s="16" t="str">
        <x:v>Normal-high</x:v>
      </x:c>
      <x:c r="I87" s="16" t="str"/>
      <x:c r="J87" s="16" t="str">
        <x:v>CHL lab data shared by user</x:v>
      </x:c>
      <x:c r="K87" s="16" t="str"/>
      <x:c r="L87" s="16" t="str">
        <x:v>High</x:v>
      </x:c>
    </x:row>
    <x:row r="88">
      <x:c r="A88" s="16" t="str">
        <x:v>2026-06-01</x:v>
      </x:c>
      <x:c r="B88" s="16" t="str">
        <x:v>Iron studies</x:v>
      </x:c>
      <x:c r="C88" s="16" t="str">
        <x:v>Iron metabolism</x:v>
      </x:c>
      <x:c r="D88" s="16" t="str">
        <x:v>TIBC</x:v>
      </x:c>
      <x:c r="E88" s="16" t="n">
        <x:v>449</x:v>
      </x:c>
      <x:c r="F88" s="16" t="str">
        <x:v>µg/dL</x:v>
      </x:c>
      <x:c r="G88" s="16" t="str">
        <x:v>268–436</x:v>
      </x:c>
      <x:c r="H88" s="16" t="str">
        <x:v>High</x:v>
      </x:c>
      <x:c r="I88" s="16" t="str">
        <x:v>Possible early/functional iron depletion pattern; interpret with ferritin/TSAT.</x:v>
      </x:c>
      <x:c r="J88" s="16" t="str">
        <x:v>CHL lab data shared by user</x:v>
      </x:c>
      <x:c r="K88" s="16" t="str">
        <x:v>Clinician to decide on iron strategy.</x:v>
      </x:c>
      <x:c r="L88" s="16" t="str">
        <x:v>High</x:v>
      </x:c>
    </x:row>
    <x:row r="89">
      <x:c r="A89" s="16" t="str">
        <x:v>2026-06-01</x:v>
      </x:c>
      <x:c r="B89" s="16" t="str">
        <x:v>Iron studies</x:v>
      </x:c>
      <x:c r="C89" s="16" t="str">
        <x:v>Iron metabolism</x:v>
      </x:c>
      <x:c r="D89" s="16" t="str">
        <x:v>Transferrin saturation</x:v>
      </x:c>
      <x:c r="E89" s="16" t="n">
        <x:v>20</x:v>
      </x:c>
      <x:c r="F89" s="16" t="str">
        <x:v>%</x:v>
      </x:c>
      <x:c r="G89" s="16" t="str">
        <x:v>16–45</x:v>
      </x:c>
      <x:c r="H89" s="16" t="str">
        <x:v>Low-normal</x:v>
      </x:c>
      <x:c r="I89" s="16" t="str"/>
      <x:c r="J89" s="16" t="str">
        <x:v>CHL lab data shared by user</x:v>
      </x:c>
      <x:c r="K89" s="16" t="str"/>
      <x:c r="L89" s="16" t="str">
        <x:v>High</x:v>
      </x:c>
    </x:row>
    <x:row r="90">
      <x:c r="A90" s="16" t="str">
        <x:v>2026-06-01</x:v>
      </x:c>
      <x:c r="B90" s="16" t="str">
        <x:v>Iron studies</x:v>
      </x:c>
      <x:c r="C90" s="16" t="str">
        <x:v>Iron metabolism</x:v>
      </x:c>
      <x:c r="D90" s="16" t="str">
        <x:v>Ferritin</x:v>
      </x:c>
      <x:c r="E90" s="16" t="n">
        <x:v>81</x:v>
      </x:c>
      <x:c r="F90" s="16" t="str">
        <x:v>ng/mL</x:v>
      </x:c>
      <x:c r="G90" s="16" t="str">
        <x:v>30–400</x:v>
      </x:c>
      <x:c r="H90" s="16" t="str">
        <x:v>Normal</x:v>
      </x:c>
      <x:c r="I90" s="16" t="str">
        <x:v>Normal storage ferritin; does not support Still's with high ferritin.</x:v>
      </x:c>
      <x:c r="J90" s="16" t="str">
        <x:v>CHL lab data shared by user</x:v>
      </x:c>
      <x:c r="K90" s="16" t="str"/>
      <x:c r="L90" s="16" t="str">
        <x:v>High</x:v>
      </x:c>
    </x:row>
    <x:row r="91">
      <x:c r="A91" s="16" t="str">
        <x:v>2026-06-01</x:v>
      </x:c>
      <x:c r="B91" s="16" t="str">
        <x:v>Vitamins/metabolic</x:v>
      </x:c>
      <x:c r="C91" s="16" t="str">
        <x:v>B12 pathway</x:v>
      </x:c>
      <x:c r="D91" s="16" t="str">
        <x:v>Vitamin B12</x:v>
      </x:c>
      <x:c r="E91" s="16" t="n">
        <x:v>177</x:v>
      </x:c>
      <x:c r="F91" s="16" t="str">
        <x:v>pg/mL</x:v>
      </x:c>
      <x:c r="G91" s="16" t="str">
        <x:v>192–771</x:v>
      </x:c>
      <x:c r="H91" s="16" t="str">
        <x:v>Low</x:v>
      </x:c>
      <x:c r="I91" s="16" t="str">
        <x:v>Treatable deficiency; may contribute to fatigue/neuropathic symptoms and homocysteine.</x:v>
      </x:c>
      <x:c r="J91" s="16" t="str">
        <x:v>CHL lab data shared by user</x:v>
      </x:c>
      <x:c r="K91" s="16" t="str">
        <x:v>Start/confirm supplementation plan with clinician.</x:v>
      </x:c>
      <x:c r="L91" s="16" t="str">
        <x:v>High</x:v>
      </x:c>
    </x:row>
    <x:row r="92">
      <x:c r="A92" s="16" t="str">
        <x:v>2026-06-01</x:v>
      </x:c>
      <x:c r="B92" s="16" t="str">
        <x:v>Vitamins/metabolic</x:v>
      </x:c>
      <x:c r="C92" s="16" t="str">
        <x:v>Folate</x:v>
      </x:c>
      <x:c r="D92" s="16" t="str">
        <x:v>Folic acid</x:v>
      </x:c>
      <x:c r="E92" s="16" t="n">
        <x:v>5.5</x:v>
      </x:c>
      <x:c r="F92" s="16" t="str">
        <x:v>ng/mL</x:v>
      </x:c>
      <x:c r="G92" s="16" t="str">
        <x:v>4.4–31.0</x:v>
      </x:c>
      <x:c r="H92" s="16" t="str">
        <x:v>Normal-low</x:v>
      </x:c>
      <x:c r="I92" s="16" t="str">
        <x:v>Interpret with B12/homocysteine.</x:v>
      </x:c>
      <x:c r="J92" s="16" t="str">
        <x:v>CHL lab data shared by user</x:v>
      </x:c>
      <x:c r="K92" s="16" t="str"/>
      <x:c r="L92" s="16" t="str">
        <x:v>High</x:v>
      </x:c>
    </x:row>
    <x:row r="93">
      <x:c r="A93" s="16" t="str">
        <x:v>2026-06-01</x:v>
      </x:c>
      <x:c r="B93" s="16" t="str">
        <x:v>Vitamins/metabolic</x:v>
      </x:c>
      <x:c r="C93" s="16" t="str">
        <x:v>Glucose metabolism</x:v>
      </x:c>
      <x:c r="D93" s="16" t="str">
        <x:v>HbA1c DCCT</x:v>
      </x:c>
      <x:c r="E93" s="16" t="n">
        <x:v>5.5</x:v>
      </x:c>
      <x:c r="F93" s="16" t="str">
        <x:v>%</x:v>
      </x:c>
      <x:c r="G93" s="16" t="str">
        <x:v>&lt;5.7</x:v>
      </x:c>
      <x:c r="H93" s="16" t="str">
        <x:v>Normal</x:v>
      </x:c>
      <x:c r="I93" s="16" t="str">
        <x:v>Diabetes mellitus unlikely cause of polyuria.</x:v>
      </x:c>
      <x:c r="J93" s="16" t="str">
        <x:v>CHL lab data shared by user</x:v>
      </x:c>
      <x:c r="K93" s="16" t="str"/>
      <x:c r="L93" s="16" t="str">
        <x:v>High</x:v>
      </x:c>
    </x:row>
    <x:row r="94">
      <x:c r="A94" s="16" t="str">
        <x:v>2026-06-01</x:v>
      </x:c>
      <x:c r="B94" s="16" t="str">
        <x:v>Vitamins/metabolic</x:v>
      </x:c>
      <x:c r="C94" s="16" t="str">
        <x:v>B12/folate pathway</x:v>
      </x:c>
      <x:c r="D94" s="16" t="str">
        <x:v>Homocysteine</x:v>
      </x:c>
      <x:c r="E94" s="16" t="n">
        <x:v>20.7</x:v>
      </x:c>
      <x:c r="F94" s="16" t="str">
        <x:v>µmol/L</x:v>
      </x:c>
      <x:c r="G94" s="16" t="str">
        <x:v>&lt;15.0</x:v>
      </x:c>
      <x:c r="H94" s="16" t="str">
        <x:v>High</x:v>
      </x:c>
      <x:c r="I94" s="16" t="str">
        <x:v>Likely related to B12/folate pathway; cardiovascular/neuro relevance.</x:v>
      </x:c>
      <x:c r="J94" s="16" t="str">
        <x:v>CHL lab data shared by user</x:v>
      </x:c>
      <x:c r="K94" s="16" t="str">
        <x:v>Treat B12/folate pathway per clinician and recheck.</x:v>
      </x:c>
      <x:c r="L94" s="16" t="str">
        <x:v>High</x:v>
      </x:c>
    </x:row>
    <x:row r="95">
      <x:c r="A95" s="16" t="str">
        <x:v>2026-06-01</x:v>
      </x:c>
      <x:c r="B95" s="16" t="str">
        <x:v>Vitamins/metabolic</x:v>
      </x:c>
      <x:c r="C95" s="16" t="str">
        <x:v>Vitamin D</x:v>
      </x:c>
      <x:c r="D95" s="16" t="str">
        <x:v>Vitamin D 25-OH</x:v>
      </x:c>
      <x:c r="E95" s="16" t="n">
        <x:v>50</x:v>
      </x:c>
      <x:c r="F95" s="16" t="str">
        <x:v>nmol/L</x:v>
      </x:c>
      <x:c r="G95" s="16" t="str">
        <x:v>&gt;75 optimal</x:v>
      </x:c>
      <x:c r="H95" s="16" t="str">
        <x:v>Insufficient</x:v>
      </x:c>
      <x:c r="I95" s="16" t="str">
        <x:v>Treatable; bone/muscle/pain relevance.</x:v>
      </x:c>
      <x:c r="J95" s="16" t="str">
        <x:v>CHL lab data shared by user</x:v>
      </x:c>
      <x:c r="K95" s="16" t="str">
        <x:v>Confirm supplementation plan.</x:v>
      </x:c>
      <x:c r="L95" s="16" t="str">
        <x:v>High</x:v>
      </x:c>
    </x:row>
    <x:row r="96">
      <x:c r="A96" s="16" t="str">
        <x:v>2026-06-01</x:v>
      </x:c>
      <x:c r="B96" s="16" t="str">
        <x:v>Endocrine</x:v>
      </x:c>
      <x:c r="C96" s="16" t="str">
        <x:v>Thyroid</x:v>
      </x:c>
      <x:c r="D96" s="16" t="str">
        <x:v>TSH</x:v>
      </x:c>
      <x:c r="E96" s="16" t="n">
        <x:v>1.04</x:v>
      </x:c>
      <x:c r="F96" s="16" t="str">
        <x:v>mUI/L</x:v>
      </x:c>
      <x:c r="G96" s="16" t="str">
        <x:v>0.27–4.20</x:v>
      </x:c>
      <x:c r="H96" s="16" t="str">
        <x:v>Normal</x:v>
      </x:c>
      <x:c r="I96" s="16" t="str">
        <x:v>Hypothyroidism unlikely cause of dyslipidemia/fatigue.</x:v>
      </x:c>
      <x:c r="J96" s="16" t="str">
        <x:v>CHL lab data shared by user</x:v>
      </x:c>
      <x:c r="K96" s="16" t="str"/>
      <x:c r="L96" s="16" t="str">
        <x:v>High</x:v>
      </x:c>
    </x:row>
    <x:row r="97">
      <x:c r="A97" s="16" t="str">
        <x:v>2026-06-01</x:v>
      </x:c>
      <x:c r="B97" s="16" t="str">
        <x:v>Endocrine</x:v>
      </x:c>
      <x:c r="C97" s="16" t="str">
        <x:v>Thyroid</x:v>
      </x:c>
      <x:c r="D97" s="16" t="str">
        <x:v>Free T4</x:v>
      </x:c>
      <x:c r="E97" s="16" t="n">
        <x:v>1.19</x:v>
      </x:c>
      <x:c r="F97" s="16" t="str">
        <x:v>ng/dL</x:v>
      </x:c>
      <x:c r="G97" s="16" t="str">
        <x:v>0.92–1.68</x:v>
      </x:c>
      <x:c r="H97" s="16" t="str">
        <x:v>Normal</x:v>
      </x:c>
      <x:c r="I97" s="16" t="str"/>
      <x:c r="J97" s="16" t="str">
        <x:v>CHL lab data shared by user</x:v>
      </x:c>
      <x:c r="K97" s="16" t="str"/>
      <x:c r="L97" s="16" t="str">
        <x:v>High</x:v>
      </x:c>
    </x:row>
    <x:row r="98">
      <x:c r="A98" s="16" t="str">
        <x:v>2026-06-01</x:v>
      </x:c>
      <x:c r="B98" s="16" t="str">
        <x:v>Endocrine</x:v>
      </x:c>
      <x:c r="C98" s="16" t="str">
        <x:v>Thyroid autoimmunity</x:v>
      </x:c>
      <x:c r="D98" s="16" t="str">
        <x:v>Anti-TPO</x:v>
      </x:c>
      <x:c r="E98" s="16" t="str">
        <x:v>&lt;8</x:v>
      </x:c>
      <x:c r="F98" s="16" t="str">
        <x:v>UI/mL</x:v>
      </x:c>
      <x:c r="G98" s="16" t="str">
        <x:v>&lt;20</x:v>
      </x:c>
      <x:c r="H98" s="16" t="str">
        <x:v>Negative</x:v>
      </x:c>
      <x:c r="I98" s="16" t="str">
        <x:v>Hashimoto thyroiditis not supported.</x:v>
      </x:c>
      <x:c r="J98" s="16" t="str">
        <x:v>CHL lab data shared by user</x:v>
      </x:c>
      <x:c r="K98" s="16" t="str"/>
      <x:c r="L98" s="16" t="str">
        <x:v>High</x:v>
      </x:c>
    </x:row>
    <x:row r="99">
      <x:c r="A99" s="16" t="str">
        <x:v>2026-06-01</x:v>
      </x:c>
      <x:c r="B99" s="16" t="str">
        <x:v>Protein studies</x:v>
      </x:c>
      <x:c r="C99" s="16" t="str">
        <x:v>SPEP</x:v>
      </x:c>
      <x:c r="D99" s="16" t="str">
        <x:v>Serum protein electrophoresis</x:v>
      </x:c>
      <x:c r="E99" s="16" t="str">
        <x:v>Normal; no paraprotein</x:v>
      </x:c>
      <x:c r="F99" s="16" t="str"/>
      <x:c r="G99" s="16" t="str"/>
      <x:c r="H99" s="16" t="str">
        <x:v>Reassuring</x:v>
      </x:c>
      <x:c r="I99" s="16" t="str">
        <x:v>Plasma-cell/Waldenström-type signal not supported.</x:v>
      </x:c>
      <x:c r="J99" s="16" t="str">
        <x:v>CHL lab data shared by user</x:v>
      </x:c>
      <x:c r="K99" s="16" t="str"/>
      <x:c r="L99" s="16" t="str">
        <x:v>High</x:v>
      </x:c>
    </x:row>
    <x:row r="100">
      <x:c r="A100" s="16" t="str">
        <x:v>2026-06-01</x:v>
      </x:c>
      <x:c r="B100" s="16" t="str">
        <x:v>Immunoglobulins</x:v>
      </x:c>
      <x:c r="C100" s="16" t="str">
        <x:v>Humoral immunity</x:v>
      </x:c>
      <x:c r="D100" s="16" t="str">
        <x:v>IgG</x:v>
      </x:c>
      <x:c r="E100" s="16" t="n">
        <x:v>9.43</x:v>
      </x:c>
      <x:c r="F100" s="16" t="str">
        <x:v>g/L</x:v>
      </x:c>
      <x:c r="G100" s="16" t="str">
        <x:v>7.00–16.00</x:v>
      </x:c>
      <x:c r="H100" s="16" t="str">
        <x:v>Normal</x:v>
      </x:c>
      <x:c r="I100" s="16" t="str"/>
      <x:c r="J100" s="16" t="str">
        <x:v>CHL lab data shared by user</x:v>
      </x:c>
      <x:c r="K100" s="16" t="str"/>
      <x:c r="L100" s="16" t="str">
        <x:v>High</x:v>
      </x:c>
    </x:row>
    <x:row r="101">
      <x:c r="A101" s="16" t="str">
        <x:v>2026-06-01</x:v>
      </x:c>
      <x:c r="B101" s="16" t="str">
        <x:v>Immunoglobulins</x:v>
      </x:c>
      <x:c r="C101" s="16" t="str">
        <x:v>Humoral immunity</x:v>
      </x:c>
      <x:c r="D101" s="16" t="str">
        <x:v>IgA</x:v>
      </x:c>
      <x:c r="E101" s="16" t="n">
        <x:v>2.52</x:v>
      </x:c>
      <x:c r="F101" s="16" t="str">
        <x:v>g/L</x:v>
      </x:c>
      <x:c r="G101" s="16" t="str">
        <x:v>0.70–4.00</x:v>
      </x:c>
      <x:c r="H101" s="16" t="str">
        <x:v>Normal</x:v>
      </x:c>
      <x:c r="I101" s="16" t="str"/>
      <x:c r="J101" s="16" t="str">
        <x:v>CHL lab data shared by user</x:v>
      </x:c>
      <x:c r="K101" s="16" t="str"/>
      <x:c r="L101" s="16" t="str">
        <x:v>High</x:v>
      </x:c>
    </x:row>
    <x:row r="102">
      <x:c r="A102" s="16" t="str">
        <x:v>2026-06-01</x:v>
      </x:c>
      <x:c r="B102" s="16" t="str">
        <x:v>Immunoglobulins</x:v>
      </x:c>
      <x:c r="C102" s="16" t="str">
        <x:v>Humoral immunity</x:v>
      </x:c>
      <x:c r="D102" s="16" t="str">
        <x:v>IgM</x:v>
      </x:c>
      <x:c r="E102" s="16" t="n">
        <x:v>0.66</x:v>
      </x:c>
      <x:c r="F102" s="16" t="str">
        <x:v>g/L</x:v>
      </x:c>
      <x:c r="G102" s="16" t="str">
        <x:v>0.40–2.30</x:v>
      </x:c>
      <x:c r="H102" s="16" t="str">
        <x:v>Low-normal</x:v>
      </x:c>
      <x:c r="I102" s="16" t="str">
        <x:v>No major humoral deficiency signal from this alone.</x:v>
      </x:c>
      <x:c r="J102" s="16" t="str">
        <x:v>CHL lab data shared by user</x:v>
      </x:c>
      <x:c r="K102" s="16" t="str"/>
      <x:c r="L102" s="16" t="str">
        <x:v>High</x:v>
      </x:c>
    </x:row>
    <x:row r="103">
      <x:c r="A103" s="16" t="str">
        <x:v>2026-06-01</x:v>
      </x:c>
      <x:c r="B103" s="16" t="str">
        <x:v>Complement</x:v>
      </x:c>
      <x:c r="C103" s="16" t="str">
        <x:v>Complement</x:v>
      </x:c>
      <x:c r="D103" s="16" t="str">
        <x:v>C3</x:v>
      </x:c>
      <x:c r="E103" s="16" t="n">
        <x:v>1.36</x:v>
      </x:c>
      <x:c r="F103" s="16" t="str">
        <x:v>g/L</x:v>
      </x:c>
      <x:c r="G103" s="16" t="str">
        <x:v>0.75–1.40</x:v>
      </x:c>
      <x:c r="H103" s="16" t="str">
        <x:v>Normal</x:v>
      </x:c>
      <x:c r="I103" s="16" t="str"/>
      <x:c r="J103" s="16" t="str">
        <x:v>CHL lab data shared by user</x:v>
      </x:c>
      <x:c r="K103" s="16" t="str"/>
      <x:c r="L103" s="16" t="str">
        <x:v>High</x:v>
      </x:c>
    </x:row>
    <x:row r="104">
      <x:c r="A104" s="16" t="str">
        <x:v>2026-06-01</x:v>
      </x:c>
      <x:c r="B104" s="16" t="str">
        <x:v>Complement</x:v>
      </x:c>
      <x:c r="C104" s="16" t="str">
        <x:v>Complement</x:v>
      </x:c>
      <x:c r="D104" s="16" t="str">
        <x:v>C4</x:v>
      </x:c>
      <x:c r="E104" s="16" t="n">
        <x:v>0.18</x:v>
      </x:c>
      <x:c r="F104" s="16" t="str">
        <x:v>g/L</x:v>
      </x:c>
      <x:c r="G104" s="16" t="str">
        <x:v>0.10–0.34</x:v>
      </x:c>
      <x:c r="H104" s="16" t="str">
        <x:v>Normal</x:v>
      </x:c>
      <x:c r="I104" s="16" t="str"/>
      <x:c r="J104" s="16" t="str">
        <x:v>CHL lab data shared by user</x:v>
      </x:c>
      <x:c r="K104" s="16" t="str"/>
      <x:c r="L104" s="16" t="str">
        <x:v>High</x:v>
      </x:c>
    </x:row>
    <x:row r="105">
      <x:c r="A105" s="16" t="str">
        <x:v>2026-06-01</x:v>
      </x:c>
      <x:c r="B105" s="16" t="str">
        <x:v>Complement</x:v>
      </x:c>
      <x:c r="C105" s="16" t="str">
        <x:v>Complement</x:v>
      </x:c>
      <x:c r="D105" s="16" t="str">
        <x:v>CH50 total</x:v>
      </x:c>
      <x:c r="E105" s="16" t="n">
        <x:v>70.8</x:v>
      </x:c>
      <x:c r="F105" s="16" t="str">
        <x:v>U/mL</x:v>
      </x:c>
      <x:c r="G105" s="16" t="str">
        <x:v>&gt;42.0</x:v>
      </x:c>
      <x:c r="H105" s="16" t="str">
        <x:v>Normal</x:v>
      </x:c>
      <x:c r="I105" s="16" t="str">
        <x:v>Hypocomplementemic vasculitis less likely.</x:v>
      </x:c>
      <x:c r="J105" s="16" t="str">
        <x:v>CHL lab data shared by user</x:v>
      </x:c>
      <x:c r="K105" s="16" t="str"/>
      <x:c r="L105" s="16" t="str">
        <x:v>High</x:v>
      </x:c>
    </x:row>
    <x:row r="106">
      <x:c r="A106" s="16" t="str">
        <x:v>2026-06-01</x:v>
      </x:c>
      <x:c r="B106" s="16" t="str">
        <x:v>Hemolysis profile</x:v>
      </x:c>
      <x:c r="C106" s="16" t="str">
        <x:v>Hemolysis</x:v>
      </x:c>
      <x:c r="D106" s="16" t="str">
        <x:v>Haptoglobin</x:v>
      </x:c>
      <x:c r="E106" s="16" t="n">
        <x:v>1.1</x:v>
      </x:c>
      <x:c r="F106" s="16" t="str">
        <x:v>g/L</x:v>
      </x:c>
      <x:c r="G106" s="16" t="str">
        <x:v>0.30–2.00</x:v>
      </x:c>
      <x:c r="H106" s="16" t="str">
        <x:v>Normal</x:v>
      </x:c>
      <x:c r="I106" s="16" t="str">
        <x:v>No hemolysis signal.</x:v>
      </x:c>
      <x:c r="J106" s="16" t="str">
        <x:v>CHL lab data shared by user</x:v>
      </x:c>
      <x:c r="K106" s="16" t="str"/>
      <x:c r="L106" s="16" t="str">
        <x:v>High</x:v>
      </x:c>
    </x:row>
    <x:row r="107">
      <x:c r="A107" s="16" t="str">
        <x:v>2026-06-01</x:v>
      </x:c>
      <x:c r="B107" s="16" t="str">
        <x:v>Autoimmune</x:v>
      </x:c>
      <x:c r="C107" s="16" t="str">
        <x:v>Rheumatoid arthritis</x:v>
      </x:c>
      <x:c r="D107" s="16" t="str">
        <x:v>RF IgM anti-IgG</x:v>
      </x:c>
      <x:c r="E107" s="16" t="n">
        <x:v>0.7</x:v>
      </x:c>
      <x:c r="F107" s="16" t="str">
        <x:v>UI/mL</x:v>
      </x:c>
      <x:c r="G107" s="16" t="str">
        <x:v>&lt;5</x:v>
      </x:c>
      <x:c r="H107" s="16" t="str">
        <x:v>Negative</x:v>
      </x:c>
      <x:c r="I107" s="16" t="str">
        <x:v>RA less likely.</x:v>
      </x:c>
      <x:c r="J107" s="16" t="str">
        <x:v>Immunopathology report shared</x:v>
      </x:c>
      <x:c r="K107" s="16" t="str"/>
      <x:c r="L107" s="16" t="str">
        <x:v>High</x:v>
      </x:c>
    </x:row>
    <x:row r="108">
      <x:c r="A108" s="16" t="str">
        <x:v>2026-06-01</x:v>
      </x:c>
      <x:c r="B108" s="16" t="str">
        <x:v>Autoimmune</x:v>
      </x:c>
      <x:c r="C108" s="16" t="str">
        <x:v>Rheumatoid arthritis</x:v>
      </x:c>
      <x:c r="D108" s="16" t="str">
        <x:v>RF IgA anti-IgG</x:v>
      </x:c>
      <x:c r="E108" s="16" t="str">
        <x:v>&lt;1.3</x:v>
      </x:c>
      <x:c r="F108" s="16" t="str">
        <x:v>CU</x:v>
      </x:c>
      <x:c r="G108" s="16" t="str">
        <x:v>&lt;20</x:v>
      </x:c>
      <x:c r="H108" s="16" t="str">
        <x:v>Negative</x:v>
      </x:c>
      <x:c r="I108" s="16" t="str">
        <x:v>RA less likely.</x:v>
      </x:c>
      <x:c r="J108" s="16" t="str">
        <x:v>Immunopathology report shared</x:v>
      </x:c>
      <x:c r="K108" s="16" t="str"/>
      <x:c r="L108" s="16" t="str">
        <x:v>High</x:v>
      </x:c>
    </x:row>
    <x:row r="109">
      <x:c r="A109" s="16" t="str">
        <x:v>2026-06-01</x:v>
      </x:c>
      <x:c r="B109" s="16" t="str">
        <x:v>Autoimmune</x:v>
      </x:c>
      <x:c r="C109" s="16" t="str">
        <x:v>Rheumatoid arthritis</x:v>
      </x:c>
      <x:c r="D109" s="16" t="str">
        <x:v>Anti-CCP3 IgG</x:v>
      </x:c>
      <x:c r="E109" s="16" t="str">
        <x:v>&lt;4.6</x:v>
      </x:c>
      <x:c r="F109" s="16" t="str">
        <x:v>CU</x:v>
      </x:c>
      <x:c r="G109" s="16" t="str">
        <x:v>&lt;20</x:v>
      </x:c>
      <x:c r="H109" s="16" t="str">
        <x:v>Negative</x:v>
      </x:c>
      <x:c r="I109" s="16" t="str">
        <x:v>RA less likely.</x:v>
      </x:c>
      <x:c r="J109" s="16" t="str">
        <x:v>Immunopathology report shared</x:v>
      </x:c>
      <x:c r="K109" s="16" t="str"/>
      <x:c r="L109" s="16" t="str">
        <x:v>High</x:v>
      </x:c>
    </x:row>
    <x:row r="110">
      <x:c r="A110" s="16" t="str">
        <x:v>2026-06-01</x:v>
      </x:c>
      <x:c r="B110" s="16" t="str">
        <x:v>Autoimmune</x:v>
      </x:c>
      <x:c r="C110" s="16" t="str">
        <x:v>Connective tissue disease</x:v>
      </x:c>
      <x:c r="D110" s="16" t="str">
        <x:v>ANA HEp-2 IFI</x:v>
      </x:c>
      <x:c r="E110" s="16" t="str">
        <x:v>Negative</x:v>
      </x:c>
      <x:c r="F110" s="16" t="str"/>
      <x:c r="G110" s="16" t="str">
        <x:v>Screening 1/160</x:v>
      </x:c>
      <x:c r="H110" s="16" t="str">
        <x:v>Negative</x:v>
      </x:c>
      <x:c r="I110" s="16" t="str">
        <x:v>Classic ANA-associated CTD less likely; does not exclude myositis-specific antibodies.</x:v>
      </x:c>
      <x:c r="J110" s="16" t="str">
        <x:v>Immunopathology report shared</x:v>
      </x:c>
      <x:c r="K110" s="16" t="str">
        <x:v>Consider myositis panel only if clinically indicated.</x:v>
      </x:c>
      <x:c r="L110" s="16" t="str">
        <x:v>High</x:v>
      </x:c>
    </x:row>
    <x:row r="111">
      <x:c r="A111" s="16" t="str">
        <x:v>2026-06-01</x:v>
      </x:c>
      <x:c r="B111" s="16" t="str">
        <x:v>Vasculitis</x:v>
      </x:c>
      <x:c r="C111" s="16" t="str">
        <x:v>ANCA</x:v>
      </x:c>
      <x:c r="D111" s="16" t="str">
        <x:v>ANCA IgG IF ethanol</x:v>
      </x:c>
      <x:c r="E111" s="16" t="str">
        <x:v>Negative</x:v>
      </x:c>
      <x:c r="F111" s="16" t="str"/>
      <x:c r="G111" s="16" t="str">
        <x:v>Screening 1/10</x:v>
      </x:c>
      <x:c r="H111" s="16" t="str">
        <x:v>Negative</x:v>
      </x:c>
      <x:c r="I111" s="16" t="str">
        <x:v>ANCA vasculitis unlikely with negative MPO/PR3 and clean urine.</x:v>
      </x:c>
      <x:c r="J111" s="16" t="str">
        <x:v>ANCA panel report shared</x:v>
      </x:c>
      <x:c r="K111" s="16" t="str"/>
      <x:c r="L111" s="16" t="str">
        <x:v>High</x:v>
      </x:c>
    </x:row>
    <x:row r="112">
      <x:c r="A112" s="16" t="str">
        <x:v>2026-06-01</x:v>
      </x:c>
      <x:c r="B112" s="16" t="str">
        <x:v>Vasculitis</x:v>
      </x:c>
      <x:c r="C112" s="16" t="str">
        <x:v>ANCA</x:v>
      </x:c>
      <x:c r="D112" s="16" t="str">
        <x:v>MPO-ANCA IgG</x:v>
      </x:c>
      <x:c r="E112" s="16" t="str">
        <x:v>&lt;3.2</x:v>
      </x:c>
      <x:c r="F112" s="16" t="str">
        <x:v>CU</x:v>
      </x:c>
      <x:c r="G112" s="16" t="str">
        <x:v>&lt;20</x:v>
      </x:c>
      <x:c r="H112" s="16" t="str">
        <x:v>Negative</x:v>
      </x:c>
      <x:c r="I112" s="16" t="str"/>
      <x:c r="J112" s="16" t="str">
        <x:v>ANCA panel report shared</x:v>
      </x:c>
      <x:c r="K112" s="16" t="str"/>
      <x:c r="L112" s="16" t="str">
        <x:v>High</x:v>
      </x:c>
    </x:row>
    <x:row r="113">
      <x:c r="A113" s="16" t="str">
        <x:v>2026-06-01</x:v>
      </x:c>
      <x:c r="B113" s="16" t="str">
        <x:v>Vasculitis</x:v>
      </x:c>
      <x:c r="C113" s="16" t="str">
        <x:v>ANCA</x:v>
      </x:c>
      <x:c r="D113" s="16" t="str">
        <x:v>PR3-ANCA IgG</x:v>
      </x:c>
      <x:c r="E113" s="16" t="str">
        <x:v>&lt;2.3</x:v>
      </x:c>
      <x:c r="F113" s="16" t="str">
        <x:v>CU</x:v>
      </x:c>
      <x:c r="G113" s="16" t="str">
        <x:v>&lt;20</x:v>
      </x:c>
      <x:c r="H113" s="16" t="str">
        <x:v>Negative</x:v>
      </x:c>
      <x:c r="I113" s="16" t="str"/>
      <x:c r="J113" s="16" t="str">
        <x:v>ANCA panel report shared</x:v>
      </x:c>
      <x:c r="K113" s="16" t="str"/>
      <x:c r="L113" s="16" t="str">
        <x:v>High</x:v>
      </x:c>
    </x:row>
    <x:row r="114">
      <x:c r="A114" s="16" t="str">
        <x:v>2026-06-01</x:v>
      </x:c>
      <x:c r="B114" s="16" t="str">
        <x:v>Allergy / mast cell</x:v>
      </x:c>
      <x:c r="C114" s="16" t="str">
        <x:v>IgE</x:v>
      </x:c>
      <x:c r="D114" s="16" t="str">
        <x:v>Total IgE</x:v>
      </x:c>
      <x:c r="E114" s="16" t="n">
        <x:v>31</x:v>
      </x:c>
      <x:c r="F114" s="16" t="str">
        <x:v>kUA/L</x:v>
      </x:c>
      <x:c r="G114" s="16" t="str">
        <x:v>&lt;114</x:v>
      </x:c>
      <x:c r="H114" s="16" t="str">
        <x:v>Normal</x:v>
      </x:c>
      <x:c r="I114" s="16" t="str">
        <x:v>Classic IgE-mediated allergy not strongly supported.</x:v>
      </x:c>
      <x:c r="J114" s="16" t="str">
        <x:v>Allergology report shared</x:v>
      </x:c>
      <x:c r="K114" s="16" t="str"/>
      <x:c r="L114" s="16" t="str">
        <x:v>High</x:v>
      </x:c>
    </x:row>
    <x:row r="115">
      <x:c r="A115" s="16" t="str">
        <x:v>2026-06-01</x:v>
      </x:c>
      <x:c r="B115" s="16" t="str">
        <x:v>Allergy / mast cell</x:v>
      </x:c>
      <x:c r="C115" s="16" t="str">
        <x:v>Mast cell</x:v>
      </x:c>
      <x:c r="D115" s="16" t="str">
        <x:v>Baseline tryptase</x:v>
      </x:c>
      <x:c r="E115" s="16" t="n">
        <x:v>5</x:v>
      </x:c>
      <x:c r="F115" s="16" t="str">
        <x:v>ng/mL</x:v>
      </x:c>
      <x:c r="G115" s="16" t="str">
        <x:v>&lt;8.4</x:v>
      </x:c>
      <x:c r="H115" s="16" t="str">
        <x:v>Normal</x:v>
      </x:c>
      <x:c r="I115" s="16" t="str">
        <x:v>Systemic mastocytosis with high mast-cell burden unlikely.</x:v>
      </x:c>
      <x:c r="J115" s="16" t="str">
        <x:v>Allergology report shared</x:v>
      </x:c>
      <x:c r="K115" s="16" t="str">
        <x:v>Urine mediators still pending if ordered.</x:v>
      </x:c>
      <x:c r="L115" s="16" t="str">
        <x:v>High</x:v>
      </x:c>
    </x:row>
    <x:row r="116">
      <x:c r="A116" s="16" t="str">
        <x:v>2026-06-01</x:v>
      </x:c>
      <x:c r="B116" s="16" t="str">
        <x:v>Eosinophil activation</x:v>
      </x:c>
      <x:c r="C116" s="16" t="str">
        <x:v>ECP</x:v>
      </x:c>
      <x:c r="D116" s="16" t="str">
        <x:v>Eosinophil cationic protein</x:v>
      </x:c>
      <x:c r="E116" s="16" t="n">
        <x:v>48.4</x:v>
      </x:c>
      <x:c r="F116" s="16" t="str">
        <x:v>µg/L</x:v>
      </x:c>
      <x:c r="G116" s="16" t="str">
        <x:v>&lt;13.3</x:v>
      </x:c>
      <x:c r="H116" s="16" t="str">
        <x:v>High</x:v>
      </x:c>
      <x:c r="I116" s="16" t="str">
        <x:v>Suggests eosinophil activation/degranulation; important with eosinophils reportedly found in skin.</x:v>
      </x:c>
      <x:c r="J116" s="16" t="str">
        <x:v>Eurofins Biomnis uploaded report</x:v>
      </x:c>
      <x:c r="K116" s="16" t="str">
        <x:v>Repeat if needed; correlate with skin activity and biopsy.</x:v>
      </x:c>
      <x:c r="L116" s="16" t="str">
        <x:v>High</x:v>
      </x:c>
    </x:row>
    <x:row r="117">
      <x:c r="A117" s="16" t="str">
        <x:v>2026-05-12 / verbal result</x:v>
      </x:c>
      <x:c r="B117" s="16" t="str">
        <x:v>Dermatology</x:v>
      </x:c>
      <x:c r="C117" s="16" t="str">
        <x:v>Skin biopsy</x:v>
      </x:c>
      <x:c r="D117" s="16" t="str">
        <x:v>Eosinophils in skin</x:v>
      </x:c>
      <x:c r="E117" s="16" t="str">
        <x:v>Reported verbally</x:v>
      </x:c>
      <x:c r="F117" s="16" t="str"/>
      <x:c r="G117" s="16" t="str"/>
      <x:c r="H117" s="16" t="str">
        <x:v>Abnormal / tissue involvement</x:v>
      </x:c>
      <x:c r="I117" s="16" t="str">
        <x:v>Written report not yet reviewed; exact biopsy pattern is critical.</x:v>
      </x:c>
      <x:c r="J117" s="16" t="str">
        <x:v>Doctor call reported by user</x:v>
      </x:c>
      <x:c r="K117" s="16" t="str">
        <x:v>Obtain written dermatopathology report.</x:v>
      </x:c>
      <x:c r="L117" s="16" t="str">
        <x:v>Medium</x:v>
      </x:c>
    </x:row>
    <x:row r="118">
      <x:c r="A118" s="16" t="str">
        <x:v>2026-05-12</x:v>
      </x:c>
      <x:c r="B118" s="16" t="str">
        <x:v>Dermatology</x:v>
      </x:c>
      <x:c r="C118" s="16" t="str">
        <x:v>Skin biopsy requested</x:v>
      </x:c>
      <x:c r="D118" s="16" t="str">
        <x:v>Standard histology + DIF + eosinophilic infiltrate + psoriasiform + vasculitis + mast-cell stains + PAS/Grocott</x:v>
      </x:c>
      <x:c r="E118" s="16" t="str">
        <x:v>Ordered/performed</x:v>
      </x:c>
      <x:c r="F118" s="16" t="str"/>
      <x:c r="G118" s="16" t="str"/>
      <x:c r="H118" s="16" t="str">
        <x:v>Pending written report</x:v>
      </x:c>
      <x:c r="I118" s="16" t="str">
        <x:v>Broad and appropriate biopsy request; written result needed.</x:v>
      </x:c>
      <x:c r="J118" s="16" t="str">
        <x:v>User-shared biopsy request text</x:v>
      </x:c>
      <x:c r="K118" s="16" t="str">
        <x:v>Review full report once available.</x:v>
      </x:c>
      <x:c r="L118" s="16" t="str">
        <x:v>Medium</x:v>
      </x:c>
    </x:row>
    <x:row r="119">
      <x:c r="A119" s="16" t="str">
        <x:v>2026-06-01</x:v>
      </x:c>
      <x:c r="B119" s="16" t="str">
        <x:v>Flow cytometry</x:v>
      </x:c>
      <x:c r="C119" s="16" t="str">
        <x:v>Lymphocyte subsets</x:v>
      </x:c>
      <x:c r="D119" s="16" t="str">
        <x:v>Absolute lymphocytes (CMF)</x:v>
      </x:c>
      <x:c r="E119" s="16" t="n">
        <x:v>1.905</x:v>
      </x:c>
      <x:c r="F119" s="16" t="str">
        <x:v>G/L</x:v>
      </x:c>
      <x:c r="G119" s="16" t="str">
        <x:v>1.160–4.100</x:v>
      </x:c>
      <x:c r="H119" s="16" t="str">
        <x:v>Normal</x:v>
      </x:c>
      <x:c r="I119" s="16" t="str">
        <x:v>Overall lymphocyte pool intact.</x:v>
      </x:c>
      <x:c r="J119" s="16" t="str">
        <x:v>Flow cytometry report image shared</x:v>
      </x:c>
      <x:c r="K119" s="16" t="str"/>
      <x:c r="L119" s="16" t="str">
        <x:v>Medium</x:v>
      </x:c>
    </x:row>
    <x:row r="120">
      <x:c r="A120" s="16" t="str">
        <x:v>2026-06-01</x:v>
      </x:c>
      <x:c r="B120" s="16" t="str">
        <x:v>Flow cytometry</x:v>
      </x:c>
      <x:c r="C120" s="16" t="str">
        <x:v>B cells</x:v>
      </x:c>
      <x:c r="D120" s="16" t="str">
        <x:v>B-lymphocytes CD19+</x:v>
      </x:c>
      <x:c r="E120" s="16" t="n">
        <x:v>12.5</x:v>
      </x:c>
      <x:c r="F120" s="16" t="str">
        <x:v>%</x:v>
      </x:c>
      <x:c r="G120" s="16" t="str"/>
      <x:c r="H120" s="16" t="str">
        <x:v>Normal percentage context</x:v>
      </x:c>
      <x:c r="I120" s="16" t="str">
        <x:v>B-cell compartment appears preserved.</x:v>
      </x:c>
      <x:c r="J120" s="16" t="str">
        <x:v>Flow cytometry report image shared</x:v>
      </x:c>
      <x:c r="K120" s="16" t="str"/>
      <x:c r="L120" s="16" t="str">
        <x:v>Medium</x:v>
      </x:c>
    </x:row>
    <x:row r="121">
      <x:c r="A121" s="16" t="str">
        <x:v>2026-06-01</x:v>
      </x:c>
      <x:c r="B121" s="16" t="str">
        <x:v>Flow cytometry</x:v>
      </x:c>
      <x:c r="C121" s="16" t="str">
        <x:v>B cells</x:v>
      </x:c>
      <x:c r="D121" s="16" t="str">
        <x:v>B-lymphocytes CD19+ absolute</x:v>
      </x:c>
      <x:c r="E121" s="16" t="n">
        <x:v>0.238</x:v>
      </x:c>
      <x:c r="F121" s="16" t="str">
        <x:v>G/L</x:v>
      </x:c>
      <x:c r="G121" s="16" t="str">
        <x:v>0.055–0.530</x:v>
      </x:c>
      <x:c r="H121" s="16" t="str">
        <x:v>Normal</x:v>
      </x:c>
      <x:c r="I121" s="16" t="str">
        <x:v>B-cell deficiency not shown.</x:v>
      </x:c>
      <x:c r="J121" s="16" t="str">
        <x:v>Flow cytometry report image shared</x:v>
      </x:c>
      <x:c r="K121" s="16" t="str"/>
      <x:c r="L121" s="16" t="str">
        <x:v>Medium</x:v>
      </x:c>
    </x:row>
    <x:row r="122">
      <x:c r="A122" s="16" t="str">
        <x:v>2026-06-01</x:v>
      </x:c>
      <x:c r="B122" s="16" t="str">
        <x:v>Flow cytometry</x:v>
      </x:c>
      <x:c r="C122" s="16" t="str">
        <x:v>T cells</x:v>
      </x:c>
      <x:c r="D122" s="16" t="str">
        <x:v>T-lymphocytes CD3+</x:v>
      </x:c>
      <x:c r="E122" s="16" t="n">
        <x:v>77.3</x:v>
      </x:c>
      <x:c r="F122" s="16" t="str">
        <x:v>%</x:v>
      </x:c>
      <x:c r="G122" s="16" t="str"/>
      <x:c r="H122" s="16" t="str">
        <x:v>Normal percentage context</x:v>
      </x:c>
      <x:c r="I122" s="16" t="str">
        <x:v>T-cell pool appears preserved.</x:v>
      </x:c>
      <x:c r="J122" s="16" t="str">
        <x:v>Flow cytometry report image shared</x:v>
      </x:c>
      <x:c r="K122" s="16" t="str"/>
      <x:c r="L122" s="16" t="str">
        <x:v>Medium</x:v>
      </x:c>
    </x:row>
    <x:row r="123">
      <x:c r="A123" s="16" t="str">
        <x:v>2026-06-01</x:v>
      </x:c>
      <x:c r="B123" s="16" t="str">
        <x:v>Flow cytometry</x:v>
      </x:c>
      <x:c r="C123" s="16" t="str">
        <x:v>T cells</x:v>
      </x:c>
      <x:c r="D123" s="16" t="str">
        <x:v>T-lymphocytes CD3+ absolute</x:v>
      </x:c>
      <x:c r="E123" s="16" t="n">
        <x:v>1.472</x:v>
      </x:c>
      <x:c r="F123" s="16" t="str">
        <x:v>G/L</x:v>
      </x:c>
      <x:c r="G123" s="16" t="str">
        <x:v>0.780–3.175</x:v>
      </x:c>
      <x:c r="H123" s="16" t="str">
        <x:v>Normal</x:v>
      </x:c>
      <x:c r="I123" s="16" t="str"/>
      <x:c r="J123" s="16" t="str">
        <x:v>Flow cytometry report image shared</x:v>
      </x:c>
      <x:c r="K123" s="16" t="str"/>
      <x:c r="L123" s="16" t="str">
        <x:v>Medium</x:v>
      </x:c>
    </x:row>
    <x:row r="124">
      <x:c r="A124" s="16" t="str">
        <x:v>2026-06-01</x:v>
      </x:c>
      <x:c r="B124" s="16" t="str">
        <x:v>Flow cytometry</x:v>
      </x:c>
      <x:c r="C124" s="16" t="str">
        <x:v>T cells</x:v>
      </x:c>
      <x:c r="D124" s="16" t="str">
        <x:v>CD4 T cells absolute</x:v>
      </x:c>
      <x:c r="E124" s="16" t="n">
        <x:v>0.764</x:v>
      </x:c>
      <x:c r="F124" s="16" t="str">
        <x:v>G/L</x:v>
      </x:c>
      <x:c r="G124" s="16" t="str">
        <x:v>0.600–2.300</x:v>
      </x:c>
      <x:c r="H124" s="16" t="str">
        <x:v>Normal / low-normal</x:v>
      </x:c>
      <x:c r="I124" s="16" t="str">
        <x:v>No absolute CD4 deficiency.</x:v>
      </x:c>
      <x:c r="J124" s="16" t="str">
        <x:v>Flow cytometry report image shared</x:v>
      </x:c>
      <x:c r="K124" s="16" t="str"/>
      <x:c r="L124" s="16" t="str">
        <x:v>Medium</x:v>
      </x:c>
    </x:row>
    <x:row r="125">
      <x:c r="A125" s="16" t="str">
        <x:v>2026-06-01</x:v>
      </x:c>
      <x:c r="B125" s="16" t="str">
        <x:v>Flow cytometry</x:v>
      </x:c>
      <x:c r="C125" s="16" t="str">
        <x:v>T cells</x:v>
      </x:c>
      <x:c r="D125" s="16" t="str">
        <x:v>CD8 T cells absolute</x:v>
      </x:c>
      <x:c r="E125" s="16" t="n">
        <x:v>0.672</x:v>
      </x:c>
      <x:c r="F125" s="16" t="str">
        <x:v>G/L</x:v>
      </x:c>
      <x:c r="G125" s="16" t="str">
        <x:v>0.155–1.455</x:v>
      </x:c>
      <x:c r="H125" s="16" t="str">
        <x:v>Normal</x:v>
      </x:c>
      <x:c r="I125" s="16" t="str">
        <x:v>No absolute CD8 abnormality; ratio low due to relative balance.</x:v>
      </x:c>
      <x:c r="J125" s="16" t="str">
        <x:v>Flow cytometry report image shared</x:v>
      </x:c>
      <x:c r="K125" s="16" t="str"/>
      <x:c r="L125" s="16" t="str">
        <x:v>Medium</x:v>
      </x:c>
    </x:row>
    <x:row r="126">
      <x:c r="A126" s="16" t="str">
        <x:v>2026-06-01</x:v>
      </x:c>
      <x:c r="B126" s="16" t="str">
        <x:v>Flow cytometry</x:v>
      </x:c>
      <x:c r="C126" s="16" t="str">
        <x:v>T-cell ratio</x:v>
      </x:c>
      <x:c r="D126" s="16" t="str">
        <x:v>CD4/CD8 ratio</x:v>
      </x:c>
      <x:c r="E126" s="16" t="n">
        <x:v>1.14</x:v>
      </x:c>
      <x:c r="F126" s="16" t="str">
        <x:v>Ratio</x:v>
      </x:c>
      <x:c r="G126" s="16" t="str">
        <x:v>1.30–2.50</x:v>
      </x:c>
      <x:c r="H126" s="16" t="str">
        <x:v>Mildly low</x:v>
      </x:c>
      <x:c r="I126" s="16" t="str">
        <x:v>Mildly low ratio with normal absolute CD4/CD8; suggests nonspecific skewing/activation rather than major immunodeficiency by itself.</x:v>
      </x:c>
      <x:c r="J126" s="16" t="str">
        <x:v>Flow cytometry report image shared</x:v>
      </x:c>
      <x:c r="K126" s="16" t="str">
        <x:v>Interpret with immunologist.</x:v>
      </x:c>
      <x:c r="L126" s="16" t="str">
        <x:v>Medium</x:v>
      </x:c>
    </x:row>
    <x:row r="127">
      <x:c r="A127" s="16" t="str">
        <x:v>2026-06-01</x:v>
      </x:c>
      <x:c r="B127" s="16" t="str">
        <x:v>Flow cytometry</x:v>
      </x:c>
      <x:c r="C127" s="16" t="str">
        <x:v>NK cells</x:v>
      </x:c>
      <x:c r="D127" s="16" t="str">
        <x:v>NK lymphocytes CD3−CD16/56+ absolute</x:v>
      </x:c>
      <x:c r="E127" s="16" t="n">
        <x:v>0.196</x:v>
      </x:c>
      <x:c r="F127" s="16" t="str">
        <x:v>G/L</x:v>
      </x:c>
      <x:c r="G127" s="16" t="str">
        <x:v>0.090–0.600</x:v>
      </x:c>
      <x:c r="H127" s="16" t="str">
        <x:v>Normal</x:v>
      </x:c>
      <x:c r="I127" s="16" t="str">
        <x:v>Classic NK-cell deficiency not shown; weakens classic GATA2 pattern.</x:v>
      </x:c>
      <x:c r="J127" s="16" t="str">
        <x:v>Flow cytometry report image shared</x:v>
      </x:c>
      <x:c r="K127" s="16" t="str"/>
      <x:c r="L127" s="16" t="str">
        <x:v>Medium</x:v>
      </x:c>
    </x:row>
    <x:row r="128">
      <x:c r="A128" s="16" t="str">
        <x:v>2026-06-01</x:v>
      </x:c>
      <x:c r="B128" s="16" t="str">
        <x:v>Flow cytometry</x:v>
      </x:c>
      <x:c r="C128" s="16" t="str">
        <x:v>Aberrant T-cell subset</x:v>
      </x:c>
      <x:c r="D128" s="16" t="str">
        <x:v>CD3+CD4+CD7− cells</x:v>
      </x:c>
      <x:c r="E128" s="16" t="n">
        <x:v>3.2</x:v>
      </x:c>
      <x:c r="F128" s="16" t="str">
        <x:v>%</x:v>
      </x:c>
      <x:c r="G128" s="16" t="str">
        <x:v>Not provided</x:v>
      </x:c>
      <x:c r="H128" s="16" t="str">
        <x:v>Small atypical subset</x:v>
      </x:c>
      <x:c r="I128" s="16" t="str">
        <x:v>Relevant in eosinophil context but not diagnostic; may be reactive. Ask about TCR clonality if biopsy/clinical context supports.</x:v>
      </x:c>
      <x:c r="J128" s="16" t="str">
        <x:v>User interpretation of flow report</x:v>
      </x:c>
      <x:c r="K128" s="16" t="str">
        <x:v>Ask if TCR gene rearrangement/clonality is indicated.</x:v>
      </x:c>
      <x:c r="L128" s="16" t="str">
        <x:v>Medium</x:v>
      </x:c>
    </x:row>
    <x:row r="129">
      <x:c r="A129" s="16" t="str">
        <x:v>Not seen</x:v>
      </x:c>
      <x:c r="B129" s="16" t="str">
        <x:v>Immunology / Hematology</x:v>
      </x:c>
      <x:c r="C129" s="16" t="str">
        <x:v>T-cell clonality</x:v>
      </x:c>
      <x:c r="D129" s="16" t="str">
        <x:v>TCR gene rearrangement / T-cell clonality</x:v>
      </x:c>
      <x:c r="E129" s="16" t="str">
        <x:v>Not seen ordered/resulted</x:v>
      </x:c>
      <x:c r="F129" s="16" t="str"/>
      <x:c r="G129" s="16" t="str"/>
      <x:c r="H129" s="16" t="str">
        <x:v>Not ordered/unclear</x:v>
      </x:c>
      <x:c r="I129" s="16" t="str">
        <x:v>Would help assess lymphocyte-driven eosinophilic process if clinically indicated.</x:v>
      </x:c>
      <x:c r="J129" s="16" t="str">
        <x:v>Review of shared reports</x:v>
      </x:c>
      <x:c r="K129" s="16" t="str">
        <x:v>Ask if blood and/or skin TCR clonality is needed.</x:v>
      </x:c>
      <x:c r="L129" s="16" t="str">
        <x:v>Medium</x:v>
      </x:c>
    </x:row>
    <x:row r="130">
      <x:c r="A130" s="16" t="str">
        <x:v>2026-06-01</x:v>
      </x:c>
      <x:c r="B130" s="16" t="str">
        <x:v>Infectious disease</x:v>
      </x:c>
      <x:c r="C130" s="16" t="str">
        <x:v>TB screening</x:v>
      </x:c>
      <x:c r="D130" s="16" t="str">
        <x:v>QuantiFERON TB Gold</x:v>
      </x:c>
      <x:c r="E130" s="16" t="str">
        <x:v>Negative</x:v>
      </x:c>
      <x:c r="F130" s="16" t="str"/>
      <x:c r="G130" s="16" t="str"/>
      <x:c r="H130" s="16" t="str">
        <x:v>Negative</x:v>
      </x:c>
      <x:c r="I130" s="16" t="str">
        <x:v>Reassuring for biologic safety.</x:v>
      </x:c>
      <x:c r="J130" s="16" t="str">
        <x:v>CHL report shared</x:v>
      </x:c>
      <x:c r="K130" s="16" t="str"/>
      <x:c r="L130" s="16" t="str">
        <x:v>High</x:v>
      </x:c>
    </x:row>
    <x:row r="131">
      <x:c r="A131" s="16" t="str">
        <x:v>2026-06-01</x:v>
      </x:c>
      <x:c r="B131" s="16" t="str">
        <x:v>Infectious disease</x:v>
      </x:c>
      <x:c r="C131" s="16" t="str">
        <x:v>HIV</x:v>
      </x:c>
      <x:c r="D131" s="16" t="str">
        <x:v>HIV Ag/Ab</x:v>
      </x:c>
      <x:c r="E131" s="16" t="str">
        <x:v>Negative</x:v>
      </x:c>
      <x:c r="F131" s="16" t="str"/>
      <x:c r="G131" s="16" t="str"/>
      <x:c r="H131" s="16" t="str">
        <x:v>Negative</x:v>
      </x:c>
      <x:c r="I131" s="16" t="str">
        <x:v>Reassuring.</x:v>
      </x:c>
      <x:c r="J131" s="16" t="str">
        <x:v>CHL report shared</x:v>
      </x:c>
      <x:c r="K131" s="16" t="str"/>
      <x:c r="L131" s="16" t="str">
        <x:v>High</x:v>
      </x:c>
    </x:row>
    <x:row r="132">
      <x:c r="A132" s="16" t="str">
        <x:v>2026-06-01</x:v>
      </x:c>
      <x:c r="B132" s="16" t="str">
        <x:v>Infectious disease</x:v>
      </x:c>
      <x:c r="C132" s="16" t="str">
        <x:v>HCV</x:v>
      </x:c>
      <x:c r="D132" s="16" t="str">
        <x:v>HCV antibodies</x:v>
      </x:c>
      <x:c r="E132" s="16" t="str">
        <x:v>Negative</x:v>
      </x:c>
      <x:c r="F132" s="16" t="str"/>
      <x:c r="G132" s="16" t="str"/>
      <x:c r="H132" s="16" t="str">
        <x:v>Negative</x:v>
      </x:c>
      <x:c r="I132" s="16" t="str">
        <x:v>Reassuring.</x:v>
      </x:c>
      <x:c r="J132" s="16" t="str">
        <x:v>CHL report shared</x:v>
      </x:c>
      <x:c r="K132" s="16" t="str"/>
      <x:c r="L132" s="16" t="str">
        <x:v>High</x:v>
      </x:c>
    </x:row>
    <x:row r="133">
      <x:c r="A133" s="16" t="str">
        <x:v>2026-06-01</x:v>
      </x:c>
      <x:c r="B133" s="16" t="str">
        <x:v>Infectious disease</x:v>
      </x:c>
      <x:c r="C133" s="16" t="str">
        <x:v>HBV</x:v>
      </x:c>
      <x:c r="D133" s="16" t="str">
        <x:v>HBsAg</x:v>
      </x:c>
      <x:c r="E133" s="16" t="n">
        <x:v>0.323</x:v>
      </x:c>
      <x:c r="F133" s="16" t="str">
        <x:v>Index</x:v>
      </x:c>
      <x:c r="G133" s="16" t="str">
        <x:v>Negative &lt;0.8</x:v>
      </x:c>
      <x:c r="H133" s="16" t="str">
        <x:v>Negative</x:v>
      </x:c>
      <x:c r="I133" s="16" t="str">
        <x:v>No active HBV surface antigen signal.</x:v>
      </x:c>
      <x:c r="J133" s="16" t="str">
        <x:v>CHL report shared</x:v>
      </x:c>
      <x:c r="K133" s="16" t="str"/>
      <x:c r="L133" s="16" t="str">
        <x:v>High</x:v>
      </x:c>
    </x:row>
    <x:row r="134">
      <x:c r="A134" s="16" t="str">
        <x:v>2026-06-01</x:v>
      </x:c>
      <x:c r="B134" s="16" t="str">
        <x:v>Infectious disease</x:v>
      </x:c>
      <x:c r="C134" s="16" t="str">
        <x:v>HBV</x:v>
      </x:c>
      <x:c r="D134" s="16" t="str">
        <x:v>Anti-HBs</x:v>
      </x:c>
      <x:c r="E134" s="16" t="n">
        <x:v>83.1</x:v>
      </x:c>
      <x:c r="F134" s="16" t="str">
        <x:v>UI/mL</x:v>
      </x:c>
      <x:c r="G134" s="16" t="str">
        <x:v>Positive ≥12</x:v>
      </x:c>
      <x:c r="H134" s="16" t="str">
        <x:v>Positive/protective</x:v>
      </x:c>
      <x:c r="I134" s="16" t="str">
        <x:v>Vaccination/immunity signal.</x:v>
      </x:c>
      <x:c r="J134" s="16" t="str">
        <x:v>CHL report shared</x:v>
      </x:c>
      <x:c r="K134" s="16" t="str"/>
      <x:c r="L134" s="16" t="str">
        <x:v>High</x:v>
      </x:c>
    </x:row>
    <x:row r="135">
      <x:c r="A135" s="16" t="str">
        <x:v>2026-06-01</x:v>
      </x:c>
      <x:c r="B135" s="16" t="str">
        <x:v>Infectious disease</x:v>
      </x:c>
      <x:c r="C135" s="16" t="str">
        <x:v>HBV</x:v>
      </x:c>
      <x:c r="D135" s="16" t="str">
        <x:v>Anti-HBc total</x:v>
      </x:c>
      <x:c r="E135" s="16" t="n">
        <x:v>2.26</x:v>
      </x:c>
      <x:c r="F135" s="16" t="str">
        <x:v>Index</x:v>
      </x:c>
      <x:c r="G135" s="16" t="str">
        <x:v>Assay interpretation unclear in chat record</x:v>
      </x:c>
      <x:c r="H135" s="16" t="str">
        <x:v>Data-quality issue</x:v>
      </x:c>
      <x:c r="I135" s="16" t="str">
        <x:v>Later PCR cancellation note said serology consistent with vaccination-only/anti-HBc absent; clarify if needed.</x:v>
      </x:c>
      <x:c r="J135" s="16" t="str">
        <x:v>CHL report + user-shared HBV PCR note</x:v>
      </x:c>
      <x:c r="K135" s="16" t="str">
        <x:v>Ask lab/doctor to confirm anti-HBc interpretation/cutoff direction.</x:v>
      </x:c>
      <x:c r="L135" s="16" t="str">
        <x:v>Medium</x:v>
      </x:c>
    </x:row>
    <x:row r="136">
      <x:c r="A136" s="16" t="str">
        <x:v>2026-06</x:v>
      </x:c>
      <x:c r="B136" s="16" t="str">
        <x:v>Infectious disease</x:v>
      </x:c>
      <x:c r="C136" s="16" t="str">
        <x:v>HBV DNA</x:v>
      </x:c>
      <x:c r="D136" s="16" t="str">
        <x:v>HBV PCR viral load</x:v>
      </x:c>
      <x:c r="E136" s="16" t="str">
        <x:v>Not performed</x:v>
      </x:c>
      <x:c r="F136" s="16" t="str"/>
      <x:c r="G136" s="16" t="str"/>
      <x:c r="H136" s="16" t="str">
        <x:v>Not performed</x:v>
      </x:c>
      <x:c r="I136" s="16" t="str">
        <x:v>Lab did not perform because it interpreted serology as vaccination-only; likely lower reactivation concern if anti-HBc truly negative.</x:v>
      </x:c>
      <x:c r="J136" s="16" t="str">
        <x:v>User-shared HBV PCR report</x:v>
      </x:c>
      <x:c r="K136" s="16" t="str">
        <x:v>Clarify anti-HBc discrepancy if still clinically relevant.</x:v>
      </x:c>
      <x:c r="L136" s="16" t="str">
        <x:v>Medium</x:v>
      </x:c>
    </x:row>
    <x:row r="137">
      <x:c r="A137" s="16" t="str">
        <x:v>2026-06</x:v>
      </x:c>
      <x:c r="B137" s="16" t="str">
        <x:v>Parasitology</x:v>
      </x:c>
      <x:c r="C137" s="16" t="str">
        <x:v>Schistosoma Ig total</x:v>
      </x:c>
      <x:c r="D137" s="16" t="str">
        <x:v>Negative</x:v>
      </x:c>
      <x:c r="E137" s="16" t="str">
        <x:v>Titre</x:v>
      </x:c>
      <x:c r="F137" s="16" t="str">
        <x:v>Significant if ≥1/160</x:v>
      </x:c>
      <x:c r="G137" s="16" t="str">
        <x:v>Negative</x:v>
      </x:c>
      <x:c r="H137" s="16" t="str">
        <x:v>Schistosomiasis unlikely.</x:v>
      </x:c>
      <x:c r="I137" s="16" t="str">
        <x:v>LNS parasitology report shared</x:v>
      </x:c>
      <x:c r="J137" s="16" t="str"/>
      <x:c r="K137" s="16" t="str">
        <x:v>High</x:v>
      </x:c>
      <x:c r="L137" s="16" t="str"/>
    </x:row>
    <x:row r="138">
      <x:c r="A138" s="16" t="str">
        <x:v>2026-06</x:v>
      </x:c>
      <x:c r="B138" s="16" t="str">
        <x:v>Parasitology</x:v>
      </x:c>
      <x:c r="C138" s="16" t="str">
        <x:v>Fasciola hepatica Ig total</x:v>
      </x:c>
      <x:c r="D138" s="16" t="str">
        <x:v>Negative</x:v>
      </x:c>
      <x:c r="E138" s="16" t="str">
        <x:v>Titre</x:v>
      </x:c>
      <x:c r="F138" s="16" t="str">
        <x:v>Significant if ≥1/160</x:v>
      </x:c>
      <x:c r="G138" s="16" t="str">
        <x:v>Negative current</x:v>
      </x:c>
      <x:c r="H138" s="16" t="str">
        <x:v>Current active Fasciola unlikely; prior 2022 result was 1/80 below significant threshold.</x:v>
      </x:c>
      <x:c r="I138" s="16" t="str">
        <x:v>LNS parasitology report shared</x:v>
      </x:c>
      <x:c r="J138" s="16" t="str"/>
      <x:c r="K138" s="16" t="str">
        <x:v>High</x:v>
      </x:c>
      <x:c r="L138" s="16" t="str"/>
    </x:row>
    <x:row r="139">
      <x:c r="A139" s="16" t="str">
        <x:v>2026-06</x:v>
      </x:c>
      <x:c r="B139" s="16" t="str">
        <x:v>Parasitology</x:v>
      </x:c>
      <x:c r="C139" s="16" t="str">
        <x:v>Echinococcus granulosus Ig total</x:v>
      </x:c>
      <x:c r="D139" s="16" t="str">
        <x:v>Negative</x:v>
      </x:c>
      <x:c r="E139" s="16" t="str">
        <x:v>Titre</x:v>
      </x:c>
      <x:c r="F139" s="16" t="str">
        <x:v>Significant if ≥1/160</x:v>
      </x:c>
      <x:c r="G139" s="16" t="str">
        <x:v>Negative</x:v>
      </x:c>
      <x:c r="H139" s="16" t="str">
        <x:v>Echinococcosis unlikely.</x:v>
      </x:c>
      <x:c r="I139" s="16" t="str">
        <x:v>LNS parasitology report shared</x:v>
      </x:c>
      <x:c r="J139" s="16" t="str"/>
      <x:c r="K139" s="16" t="str">
        <x:v>High</x:v>
      </x:c>
      <x:c r="L139" s="16" t="str"/>
    </x:row>
    <x:row r="140">
      <x:c r="A140" s="16" t="str">
        <x:v>2026-06-01</x:v>
      </x:c>
      <x:c r="B140" s="16" t="str">
        <x:v>Parasitology</x:v>
      </x:c>
      <x:c r="C140" s="16" t="str">
        <x:v>Toxocara canis IgG</x:v>
      </x:c>
      <x:c r="D140" s="16" t="n">
        <x:v>0.19</x:v>
      </x:c>
      <x:c r="E140" s="16" t="str">
        <x:v>Index</x:v>
      </x:c>
      <x:c r="F140" s="16" t="str">
        <x:v>Negative &lt;0.50</x:v>
      </x:c>
      <x:c r="G140" s="16" t="str">
        <x:v>Negative</x:v>
      </x:c>
      <x:c r="H140" s="16" t="str">
        <x:v>Toxocara unlikely.</x:v>
      </x:c>
      <x:c r="I140" s="16" t="str">
        <x:v>Eurofins Biomnis uploaded report</x:v>
      </x:c>
      <x:c r="J140" s="16" t="str"/>
      <x:c r="K140" s="16" t="str">
        <x:v>High</x:v>
      </x:c>
      <x:c r="L140" s="16" t="str"/>
    </x:row>
    <x:row r="141">
      <x:c r="A141" s="16" t="str">
        <x:v>2026-06-01</x:v>
      </x:c>
      <x:c r="B141" s="16" t="str">
        <x:v>Parasitology</x:v>
      </x:c>
      <x:c r="C141" s="16" t="str">
        <x:v>Trichinella spiralis IgG</x:v>
      </x:c>
      <x:c r="D141" s="16" t="str">
        <x:v>&lt;0.5</x:v>
      </x:c>
      <x:c r="E141" s="16" t="str">
        <x:v>Index</x:v>
      </x:c>
      <x:c r="F141" s="16" t="str">
        <x:v>Negative &lt;0.8</x:v>
      </x:c>
      <x:c r="G141" s="16" t="str">
        <x:v>Negative</x:v>
      </x:c>
      <x:c r="H141" s="16" t="str">
        <x:v>Trichinella unlikely.</x:v>
      </x:c>
      <x:c r="I141" s="16" t="str">
        <x:v>Eurofins Biomnis uploaded report</x:v>
      </x:c>
      <x:c r="J141" s="16" t="str"/>
      <x:c r="K141" s="16" t="str">
        <x:v>High</x:v>
      </x:c>
      <x:c r="L141" s="16" t="str"/>
    </x:row>
    <x:row r="142">
      <x:c r="A142" s="16" t="str">
        <x:v>2026-06-01</x:v>
      </x:c>
      <x:c r="B142" s="16" t="str">
        <x:v>Parasitology</x:v>
      </x:c>
      <x:c r="C142" s="16" t="str">
        <x:v>Strongyloides IgG/IgM</x:v>
      </x:c>
      <x:c r="D142" s="16" t="str">
        <x:v>&lt;9</x:v>
      </x:c>
      <x:c r="E142" s="16" t="str">
        <x:v>NTU</x:v>
      </x:c>
      <x:c r="F142" s="16" t="str">
        <x:v>Negative &lt;9; doubtful 9–12; positive &gt;11</x:v>
      </x:c>
      <x:c r="G142" s="16" t="str">
        <x:v>Negative</x:v>
      </x:c>
      <x:c r="H142" s="16" t="str">
        <x:v>Strongyloides hyperinfection safety concern greatly reduced.</x:v>
      </x:c>
      <x:c r="I142" s="16" t="str">
        <x:v>Eurofins Biomnis uploaded report</x:v>
      </x:c>
      <x:c r="J142" s="16" t="str">
        <x:v>If high clinical concern remains, doctor may consider stool/Baermann or repeat per context.</x:v>
      </x:c>
      <x:c r="K142" s="16" t="str">
        <x:v>High</x:v>
      </x:c>
      <x:c r="L142" s="16" t="str"/>
    </x:row>
    <x:row r="143">
      <x:c r="A143" s="16" t="str">
        <x:v>2026-06-05</x:v>
      </x:c>
      <x:c r="B143" s="16" t="str">
        <x:v>Oncology marker</x:v>
      </x:c>
      <x:c r="C143" s="16" t="str">
        <x:v>Neuroendocrine marker</x:v>
      </x:c>
      <x:c r="D143" s="16" t="str">
        <x:v>Chromogranin A</x:v>
      </x:c>
      <x:c r="E143" s="16" t="n">
        <x:v>27</x:v>
      </x:c>
      <x:c r="F143" s="16" t="str">
        <x:v>ng/mL</x:v>
      </x:c>
      <x:c r="G143" s="16" t="str">
        <x:v>&lt;101.9</x:v>
      </x:c>
      <x:c r="H143" s="16" t="str">
        <x:v>Normal</x:v>
      </x:c>
      <x:c r="I143" s="16" t="str">
        <x:v>Does not support neuroendocrine/carcinoid-type concern.</x:v>
      </x:c>
      <x:c r="J143" s="16" t="str">
        <x:v>User-shared HRS/Kryptor Gold report image</x:v>
      </x:c>
      <x:c r="K143" s="16" t="str"/>
      <x:c r="L143" s="16" t="str">
        <x:v>High</x:v>
      </x:c>
    </x:row>
    <x:row r="144">
      <x:c r="A144" s="16" t="str">
        <x:v>2026-06-01</x:v>
      </x:c>
      <x:c r="B144" s="16" t="str">
        <x:v>Oncology / hematology</x:v>
      </x:c>
      <x:c r="C144" s="16" t="str">
        <x:v>Plasma cell screen</x:v>
      </x:c>
      <x:c r="D144" s="16" t="str">
        <x:v>Paraprotein</x:v>
      </x:c>
      <x:c r="E144" s="16" t="str">
        <x:v>None visible</x:v>
      </x:c>
      <x:c r="F144" s="16" t="str"/>
      <x:c r="G144" s="16" t="str"/>
      <x:c r="H144" s="16" t="str">
        <x:v>Negative</x:v>
      </x:c>
      <x:c r="I144" s="16" t="str">
        <x:v>Myeloma/Waldenström-type signal not supported.</x:v>
      </x:c>
      <x:c r="J144" s="16" t="str">
        <x:v>CHL lab data shared by user</x:v>
      </x:c>
      <x:c r="K144" s="16" t="str"/>
      <x:c r="L144" s="16" t="str">
        <x:v>High</x:v>
      </x:c>
    </x:row>
    <x:row r="145">
      <x:c r="A145" s="16" t="str">
        <x:v>2026-06-01</x:v>
      </x:c>
      <x:c r="B145" s="16" t="str">
        <x:v>Urine</x:v>
      </x:c>
      <x:c r="C145" s="16" t="str">
        <x:v>Urinalysis</x:v>
      </x:c>
      <x:c r="D145" s="16" t="str">
        <x:v>Urine specific gravity / density</x:v>
      </x:c>
      <x:c r="E145" s="16" t="n">
        <x:v>1.003</x:v>
      </x:c>
      <x:c r="F145" s="16" t="str">
        <x:v>SG</x:v>
      </x:c>
      <x:c r="G145" s="16" t="str">
        <x:v>Typical ~1.010–1.030</x:v>
      </x:c>
      <x:c r="H145" s="16" t="str">
        <x:v>Very low / dilute</x:v>
      </x:c>
      <x:c r="I145" s="16" t="str">
        <x:v>Strong signal of dilute urine; needs osmolality-based workup if polyuria confirmed.</x:v>
      </x:c>
      <x:c r="J145" s="16" t="str">
        <x:v>CHL urine report shared</x:v>
      </x:c>
      <x:c r="K145" s="16" t="str">
        <x:v>Urine osmolality, serum osmolality, repeat sodium.</x:v>
      </x:c>
      <x:c r="L145" s="16" t="str">
        <x:v>High</x:v>
      </x:c>
    </x:row>
    <x:row r="146">
      <x:c r="A146" s="16" t="str">
        <x:v>2026-06-01</x:v>
      </x:c>
      <x:c r="B146" s="16" t="str">
        <x:v>Urine</x:v>
      </x:c>
      <x:c r="C146" s="16" t="str">
        <x:v>Urinalysis</x:v>
      </x:c>
      <x:c r="D146" s="16" t="str">
        <x:v>Urine glucose</x:v>
      </x:c>
      <x:c r="E146" s="16" t="n">
        <x:v>0</x:v>
      </x:c>
      <x:c r="F146" s="16" t="str">
        <x:v>mg/dL</x:v>
      </x:c>
      <x:c r="G146" s="16" t="str">
        <x:v>Negative</x:v>
      </x:c>
      <x:c r="H146" s="16" t="str">
        <x:v>Negative</x:v>
      </x:c>
      <x:c r="I146" s="16" t="str">
        <x:v>No glucose-driven osmotic diuresis.</x:v>
      </x:c>
      <x:c r="J146" s="16" t="str">
        <x:v>CHL urine report shared</x:v>
      </x:c>
      <x:c r="K146" s="16" t="str"/>
      <x:c r="L146" s="16" t="str">
        <x:v>High</x:v>
      </x:c>
    </x:row>
    <x:row r="147">
      <x:c r="A147" s="16" t="str">
        <x:v>2026-06-01</x:v>
      </x:c>
      <x:c r="B147" s="16" t="str">
        <x:v>Urine</x:v>
      </x:c>
      <x:c r="C147" s="16" t="str">
        <x:v>Urinalysis</x:v>
      </x:c>
      <x:c r="D147" s="16" t="str">
        <x:v>Urine protein dipstick</x:v>
      </x:c>
      <x:c r="E147" s="16" t="n">
        <x:v>0</x:v>
      </x:c>
      <x:c r="F147" s="16" t="str">
        <x:v>mg/dL</x:v>
      </x:c>
      <x:c r="G147" s="16" t="str">
        <x:v>&lt;30</x:v>
      </x:c>
      <x:c r="H147" s="16" t="str">
        <x:v>Negative</x:v>
      </x:c>
      <x:c r="I147" s="16" t="str">
        <x:v>No dipstick protein signal.</x:v>
      </x:c>
      <x:c r="J147" s="16" t="str">
        <x:v>CHL urine report shared</x:v>
      </x:c>
      <x:c r="K147" s="16" t="str"/>
      <x:c r="L147" s="16" t="str">
        <x:v>High</x:v>
      </x:c>
    </x:row>
    <x:row r="148">
      <x:c r="A148" s="16" t="str">
        <x:v>2026-06-01</x:v>
      </x:c>
      <x:c r="B148" s="16" t="str">
        <x:v>Urine</x:v>
      </x:c>
      <x:c r="C148" s="16" t="str">
        <x:v>Urinalysis</x:v>
      </x:c>
      <x:c r="D148" s="16" t="str">
        <x:v>Urine blood</x:v>
      </x:c>
      <x:c r="E148" s="16" t="str">
        <x:v>Negative</x:v>
      </x:c>
      <x:c r="F148" s="16" t="str"/>
      <x:c r="G148" s="16" t="str">
        <x:v>Negative</x:v>
      </x:c>
      <x:c r="H148" s="16" t="str">
        <x:v>Negative</x:v>
      </x:c>
      <x:c r="I148" s="16" t="str">
        <x:v>No hematuria signal.</x:v>
      </x:c>
      <x:c r="J148" s="16" t="str">
        <x:v>CHL urine report shared</x:v>
      </x:c>
      <x:c r="K148" s="16" t="str"/>
      <x:c r="L148" s="16" t="str">
        <x:v>High</x:v>
      </x:c>
    </x:row>
    <x:row r="149">
      <x:c r="A149" s="16" t="str">
        <x:v>2026-06-01</x:v>
      </x:c>
      <x:c r="B149" s="16" t="str">
        <x:v>Urine</x:v>
      </x:c>
      <x:c r="C149" s="16" t="str">
        <x:v>Urinalysis</x:v>
      </x:c>
      <x:c r="D149" s="16" t="str">
        <x:v>Leukocyte esterase / nitrite</x:v>
      </x:c>
      <x:c r="E149" s="16" t="str">
        <x:v>Negative</x:v>
      </x:c>
      <x:c r="F149" s="16" t="str"/>
      <x:c r="G149" s="16" t="str">
        <x:v>Negative</x:v>
      </x:c>
      <x:c r="H149" s="16" t="str">
        <x:v>Negative</x:v>
      </x:c>
      <x:c r="I149" s="16" t="str">
        <x:v>No UTI signal.</x:v>
      </x:c>
      <x:c r="J149" s="16" t="str">
        <x:v>CHL urine report shared</x:v>
      </x:c>
      <x:c r="K149" s="16" t="str"/>
      <x:c r="L149" s="16" t="str">
        <x:v>High</x:v>
      </x:c>
    </x:row>
    <x:row r="150">
      <x:c r="A150" s="16" t="str">
        <x:v>2026-06-01</x:v>
      </x:c>
      <x:c r="B150" s="16" t="str">
        <x:v>Urine</x:v>
      </x:c>
      <x:c r="C150" s="16" t="str">
        <x:v>Urine biochemistry</x:v>
      </x:c>
      <x:c r="D150" s="16" t="str">
        <x:v>Urinary proteins</x:v>
      </x:c>
      <x:c r="E150" s="16" t="str">
        <x:v>&lt;0.04</x:v>
      </x:c>
      <x:c r="F150" s="16" t="str">
        <x:v>g/L</x:v>
      </x:c>
      <x:c r="G150" s="16" t="str">
        <x:v>&lt;0.15</x:v>
      </x:c>
      <x:c r="H150" s="16" t="str">
        <x:v>Normal/low</x:v>
      </x:c>
      <x:c r="I150" s="16" t="str">
        <x:v>No proteinuria signal.</x:v>
      </x:c>
      <x:c r="J150" s="16" t="str">
        <x:v>CHL urine report shared</x:v>
      </x:c>
      <x:c r="K150" s="16" t="str"/>
      <x:c r="L150" s="16" t="str">
        <x:v>High</x:v>
      </x:c>
    </x:row>
    <x:row r="151">
      <x:c r="A151" s="16" t="str">
        <x:v>2026-06-01</x:v>
      </x:c>
      <x:c r="B151" s="16" t="str">
        <x:v>Urine</x:v>
      </x:c>
      <x:c r="C151" s="16" t="str">
        <x:v>Urine biochemistry</x:v>
      </x:c>
      <x:c r="D151" s="16" t="str">
        <x:v>Urinary creatinine</x:v>
      </x:c>
      <x:c r="E151" s="16" t="n">
        <x:v>0.15</x:v>
      </x:c>
      <x:c r="F151" s="16" t="str">
        <x:v>g/L</x:v>
      </x:c>
      <x:c r="G151" s="16" t="str">
        <x:v>0.22–3.28</x:v>
      </x:c>
      <x:c r="H151" s="16" t="str">
        <x:v>Low</x:v>
      </x:c>
      <x:c r="I151" s="16" t="str">
        <x:v>Consistent with very dilute sample.</x:v>
      </x:c>
      <x:c r="J151" s="16" t="str">
        <x:v>CHL urine report shared</x:v>
      </x:c>
      <x:c r="K151" s="16" t="str">
        <x:v>Use osmolality/24h volume to classify polyuria.</x:v>
      </x:c>
      <x:c r="L151" s="16" t="str">
        <x:v>High</x:v>
      </x:c>
    </x:row>
    <x:row r="152">
      <x:c r="A152" s="16" t="str">
        <x:v>2026-06-01</x:v>
      </x:c>
      <x:c r="B152" s="16" t="str">
        <x:v>Urine</x:v>
      </x:c>
      <x:c r="C152" s="16" t="str">
        <x:v>Urine biochemistry</x:v>
      </x:c>
      <x:c r="D152" s="16" t="str">
        <x:v>Albuminuria</x:v>
      </x:c>
      <x:c r="E152" s="16" t="n">
        <x:v>8</x:v>
      </x:c>
      <x:c r="F152" s="16" t="str">
        <x:v>mg/L</x:v>
      </x:c>
      <x:c r="G152" s="16" t="str">
        <x:v>&lt;20</x:v>
      </x:c>
      <x:c r="H152" s="16" t="str">
        <x:v>Normal</x:v>
      </x:c>
      <x:c r="I152" s="16" t="str">
        <x:v>No albuminuria signal.</x:v>
      </x:c>
      <x:c r="J152" s="16" t="str">
        <x:v>CHL urine report shared</x:v>
      </x:c>
      <x:c r="K152" s="16" t="str"/>
      <x:c r="L152" s="16" t="str">
        <x:v>High</x:v>
      </x:c>
    </x:row>
    <x:row r="153">
      <x:c r="A153" s="16" t="str">
        <x:v>2026-06-01</x:v>
      </x:c>
      <x:c r="B153" s="16" t="str">
        <x:v>Urine</x:v>
      </x:c>
      <x:c r="C153" s="16" t="str">
        <x:v>Sediment</x:v>
      </x:c>
      <x:c r="D153" s="16" t="str">
        <x:v>Erythrocytes</x:v>
      </x:c>
      <x:c r="E153" s="16" t="n">
        <x:v>1</x:v>
      </x:c>
      <x:c r="F153" s="16" t="str">
        <x:v>El/µL</x:v>
      </x:c>
      <x:c r="G153" s="16" t="str">
        <x:v>&lt;10</x:v>
      </x:c>
      <x:c r="H153" s="16" t="str">
        <x:v>Normal</x:v>
      </x:c>
      <x:c r="I153" s="16" t="str">
        <x:v>Clean sediment.</x:v>
      </x:c>
      <x:c r="J153" s="16" t="str">
        <x:v>CHL urine report shared</x:v>
      </x:c>
      <x:c r="K153" s="16" t="str"/>
      <x:c r="L153" s="16" t="str">
        <x:v>High</x:v>
      </x:c>
    </x:row>
    <x:row r="154">
      <x:c r="A154" s="16" t="str">
        <x:v>2026-06-01</x:v>
      </x:c>
      <x:c r="B154" s="16" t="str">
        <x:v>Urine</x:v>
      </x:c>
      <x:c r="C154" s="16" t="str">
        <x:v>Sediment</x:v>
      </x:c>
      <x:c r="D154" s="16" t="str">
        <x:v>Leukocytes</x:v>
      </x:c>
      <x:c r="E154" s="16" t="n">
        <x:v>0</x:v>
      </x:c>
      <x:c r="F154" s="16" t="str">
        <x:v>El/µL</x:v>
      </x:c>
      <x:c r="G154" s="16" t="str">
        <x:v>&lt;12</x:v>
      </x:c>
      <x:c r="H154" s="16" t="str">
        <x:v>Normal</x:v>
      </x:c>
      <x:c r="I154" s="16" t="str">
        <x:v>Clean sediment.</x:v>
      </x:c>
      <x:c r="J154" s="16" t="str">
        <x:v>CHL urine report shared</x:v>
      </x:c>
      <x:c r="K154" s="16" t="str"/>
      <x:c r="L154" s="16" t="str">
        <x:v>High</x:v>
      </x:c>
    </x:row>
    <x:row r="155">
      <x:c r="A155" s="16" t="str">
        <x:v>2026-06</x:v>
      </x:c>
      <x:c r="B155" s="16" t="str">
        <x:v>Urine / fluid balance</x:v>
      </x:c>
      <x:c r="C155" s="16" t="str">
        <x:v>Polyuria</x:v>
      </x:c>
      <x:c r="D155" s="16" t="str">
        <x:v>24/25h urine volume</x:v>
      </x:c>
      <x:c r="E155" s="16" t="str">
        <x:v>&gt;3.5</x:v>
      </x:c>
      <x:c r="F155" s="16" t="str">
        <x:v>L/25h</x:v>
      </x:c>
      <x:c r="G155" s="16" t="str">
        <x:v>Polyuria often &gt;3 L/day</x:v>
      </x:c>
      <x:c r="H155" s="16" t="str">
        <x:v>High</x:v>
      </x:c>
      <x:c r="I155" s="16" t="str">
        <x:v>Confirms high-volume urine output; needs classification.</x:v>
      </x:c>
      <x:c r="J155" s="16" t="str">
        <x:v>User-provided collection detail</x:v>
      </x:c>
      <x:c r="K155" s="16" t="str">
        <x:v>Urine osmolality, serum osmolality, repeat sodium; endocrine/nephrology if needed.</x:v>
      </x:c>
      <x:c r="L155" s="16" t="str">
        <x:v>Medium</x:v>
      </x:c>
    </x:row>
    <x:row r="156">
      <x:c r="A156" s="16" t="str">
        <x:v>Pending</x:v>
      </x:c>
      <x:c r="B156" s="16" t="str">
        <x:v>Mast-cell mediators</x:v>
      </x:c>
      <x:c r="C156" s="16" t="str">
        <x:v>24h urine</x:v>
      </x:c>
      <x:c r="D156" s="16" t="str">
        <x:v>Histamine / methylhistamine / prostaglandin D2 / leukotriene E4</x:v>
      </x:c>
      <x:c r="E156" s="16" t="str">
        <x:v>Pending / not seen</x:v>
      </x:c>
      <x:c r="F156" s="16" t="str"/>
      <x:c r="G156" s="16" t="str"/>
      <x:c r="H156" s="16" t="str">
        <x:v>Pending</x:v>
      </x:c>
      <x:c r="I156" s="16" t="str">
        <x:v>Ordered in mast-cell activation workup; final results not yet shared.</x:v>
      </x:c>
      <x:c r="J156" s="16" t="str">
        <x:v>Prescription shared by user</x:v>
      </x:c>
      <x:c r="K156" s="16" t="str">
        <x:v>Request results/status.</x:v>
      </x:c>
      <x:c r="L156" s="16" t="str">
        <x:v>Medium</x:v>
      </x:c>
    </x:row>
    <x:row r="157">
      <x:c r="A157" s="16" t="str">
        <x:v>Pending</x:v>
      </x:c>
      <x:c r="B157" s="16" t="str">
        <x:v>Genetics</x:v>
      </x:c>
      <x:c r="C157" s="16" t="str">
        <x:v>Autoinflammatory panel</x:v>
      </x:c>
      <x:c r="D157" s="16" t="str">
        <x:v>MEFV, TNFRSF1A, NLRP3, MVK, NLRC4, ADA2/CECR1, PSTPIP1, NOD2, LPIN2, PLCG2, others</x:v>
      </x:c>
      <x:c r="E157" s="16" t="str">
        <x:v>Ordered / pending</x:v>
      </x:c>
      <x:c r="F157" s="16" t="str"/>
      <x:c r="G157" s="16" t="str"/>
      <x:c r="H157" s="16" t="str">
        <x:v>Pending</x:v>
      </x:c>
      <x:c r="I157" s="16" t="str">
        <x:v>Could clarify atypical autoinflammatory phenotype.</x:v>
      </x:c>
      <x:c r="J157" s="16" t="str">
        <x:v>Prescription shared by user</x:v>
      </x:c>
      <x:c r="K157" s="16" t="str">
        <x:v>Request status/results.</x:v>
      </x:c>
      <x:c r="L157" s="16" t="str">
        <x:v>Medium</x:v>
      </x:c>
    </x:row>
    <x:row r="158">
      <x:c r="A158" s="16" t="str">
        <x:v>Pending</x:v>
      </x:c>
      <x:c r="B158" s="16" t="str">
        <x:v>Genetics / hematology</x:v>
      </x:c>
      <x:c r="C158" s="16" t="str">
        <x:v>Oncohematology panel</x:v>
      </x:c>
      <x:c r="D158" s="16" t="str">
        <x:v>Genetic/oncohematology panel</x:v>
      </x:c>
      <x:c r="E158" s="16" t="str">
        <x:v>Ordered / pending</x:v>
      </x:c>
      <x:c r="F158" s="16" t="str"/>
      <x:c r="G158" s="16" t="str"/>
      <x:c r="H158" s="16" t="str">
        <x:v>Pending</x:v>
      </x:c>
      <x:c r="I158" s="16" t="str">
        <x:v>Rule-out for rare germline/clonal predisposition; current routine hematology is reassuring.</x:v>
      </x:c>
      <x:c r="J158" s="16" t="str">
        <x:v>Lab send-out noted in reports</x:v>
      </x:c>
      <x:c r="K158" s="16" t="str">
        <x:v>Request genes included and results.</x:v>
      </x:c>
      <x:c r="L158" s="16" t="str">
        <x:v>Medium</x:v>
      </x:c>
    </x:row>
    <x:row r="159">
      <x:c r="A159" s="16" t="str">
        <x:v>Pending</x:v>
      </x:c>
      <x:c r="B159" s="16" t="str">
        <x:v>Immunology</x:v>
      </x:c>
      <x:c r="C159" s="16" t="str">
        <x:v>Interferon signature</x:v>
      </x:c>
      <x:c r="D159" s="16" t="str">
        <x:v>Type I interferon transcriptomic signature</x:v>
      </x:c>
      <x:c r="E159" s="16" t="str">
        <x:v>Ordered / pending</x:v>
      </x:c>
      <x:c r="F159" s="16" t="str"/>
      <x:c r="G159" s="16" t="str"/>
      <x:c r="H159" s="16" t="str">
        <x:v>Pending</x:v>
      </x:c>
      <x:c r="I159" s="16" t="str">
        <x:v>Could support interferon-driven immune activation if positive.</x:v>
      </x:c>
      <x:c r="J159" s="16" t="str">
        <x:v>Lab send-out noted in reports</x:v>
      </x:c>
      <x:c r="K159" s="16" t="str">
        <x:v>Request result/status.</x:v>
      </x:c>
      <x:c r="L159" s="16" t="str">
        <x:v>Medium</x:v>
      </x:c>
    </x:row>
    <x:row r="160">
      <x:c r="A160" s="16" t="str">
        <x:v>Pending</x:v>
      </x:c>
      <x:c r="B160" s="16" t="str">
        <x:v>Immunology</x:v>
      </x:c>
      <x:c r="C160" s="16" t="str">
        <x:v>Lymphocyte subsets / T-reg</x:v>
      </x:c>
      <x:c r="D160" s="16" t="str">
        <x:v>T regulatory lymphocytes / expanded immunophenotyping</x:v>
      </x:c>
      <x:c r="E160" s="16" t="str">
        <x:v>Partly reported; T-reg status unclear</x:v>
      </x:c>
      <x:c r="F160" s="16" t="str"/>
      <x:c r="G160" s="16" t="str"/>
      <x:c r="H160" s="16" t="str">
        <x:v>Pending/unclear</x:v>
      </x:c>
      <x:c r="I160" s="16" t="str">
        <x:v>Flow cytometry page seen; T-reg final values not fully available in shared images.</x:v>
      </x:c>
      <x:c r="J160" s="16" t="str">
        <x:v>Flow cytometry report image shared</x:v>
      </x:c>
      <x:c r="K160" s="16" t="str">
        <x:v>Share page 2 / full report.</x:v>
      </x:c>
      <x:c r="L160" s="16" t="str">
        <x:v>Medium</x:v>
      </x:c>
    </x:row>
    <x:row r="161">
      <x:c r="A161" s="16" t="str">
        <x:v>Not completed</x:v>
      </x:c>
      <x:c r="B161" s="16" t="str">
        <x:v>Autoinflammation</x:v>
      </x:c>
      <x:c r="C161" s="16" t="str">
        <x:v>Still's disease screen</x:v>
      </x:c>
      <x:c r="D161" s="16" t="str">
        <x:v>Glycosylated ferritin</x:v>
      </x:c>
      <x:c r="E161" s="16" t="str">
        <x:v>Not performed</x:v>
      </x:c>
      <x:c r="F161" s="16" t="str"/>
      <x:c r="G161" s="16" t="str">
        <x:v>Insufficient sample</x:v>
      </x:c>
      <x:c r="H161" s="16" t="str">
        <x:v>Not completed</x:v>
      </x:c>
      <x:c r="I161" s="16" t="str">
        <x:v>Biomnis reported insufficient sample; repeat only if Still's pathway remains clinically relevant.</x:v>
      </x:c>
      <x:c r="J161" s="16" t="str">
        <x:v>Eurofins Biomnis uploaded report</x:v>
      </x:c>
      <x:c r="K161" s="16" t="str">
        <x:v>Repeat sample if clinician still wants test.</x:v>
      </x:c>
      <x:c r="L161" s="16" t="str">
        <x:v>High</x:v>
      </x:c>
    </x:row>
    <x:row r="162">
      <x:c r="A162" s="16" t="str">
        <x:v>Not ordered/unclear</x:v>
      </x:c>
      <x:c r="B162" s="16" t="str">
        <x:v>Myositis workup</x:v>
      </x:c>
      <x:c r="C162" s="16" t="str">
        <x:v>Myositis antibodies</x:v>
      </x:c>
      <x:c r="D162" s="16" t="str">
        <x:v>Anti-Jo1 / Mi-2 / MDA5 / TIF1γ / NXP2 / SRP / HMGCR etc.</x:v>
      </x:c>
      <x:c r="E162" s="16" t="str">
        <x:v>Not seen ordered</x:v>
      </x:c>
      <x:c r="F162" s="16" t="str"/>
      <x:c r="G162" s="16" t="str"/>
      <x:c r="H162" s="16" t="str">
        <x:v>Not ordered/unclear</x:v>
      </x:c>
      <x:c r="I162" s="16" t="str">
        <x:v>Consider if CK remains high, weakness/rash/ILD/dysphagia or biopsy supports.</x:v>
      </x:c>
      <x:c r="J162" s="16" t="str">
        <x:v>Review of shared records</x:v>
      </x:c>
      <x:c r="K162" s="16" t="str">
        <x:v>Ask doctor if needed.</x:v>
      </x:c>
      <x:c r="L162" s="16" t="str">
        <x:v>Medium</x:v>
      </x:c>
    </x:row>
    <x:row r="163">
      <x:c r="A163" s="16" t="str">
        <x:v>Not done/unclear</x:v>
      </x:c>
      <x:c r="B163" s="16" t="str">
        <x:v>Endocrine / nephrology</x:v>
      </x:c>
      <x:c r="C163" s="16" t="str">
        <x:v>Polyuria workup</x:v>
      </x:c>
      <x:c r="D163" s="16" t="str">
        <x:v>Urine osmolality + serum osmolality + paired sodium</x:v>
      </x:c>
      <x:c r="E163" s="16" t="str">
        <x:v>Not seen</x:v>
      </x:c>
      <x:c r="F163" s="16" t="str"/>
      <x:c r="G163" s="16" t="str"/>
      <x:c r="H163" s="16" t="str">
        <x:v>Missing</x:v>
      </x:c>
      <x:c r="I163" s="16" t="str">
        <x:v>Needed to classify hypotonic polyuria / DI vs primary polydipsia etc.</x:v>
      </x:c>
      <x:c r="J163" s="16" t="str">
        <x:v>Review of shared records</x:v>
      </x:c>
      <x:c r="K163" s="16" t="str">
        <x:v>Request workup.</x:v>
      </x:c>
      <x:c r="L163" s="16" t="str">
        <x:v>Medium</x:v>
      </x:c>
    </x:row>
    <x:row r="164">
      <x:c r="A164" s="16" t="str">
        <x:v>Not done/unclear</x:v>
      </x:c>
      <x:c r="B164" s="16" t="str">
        <x:v>Radiology</x:v>
      </x:c>
      <x:c r="C164" s="16" t="str">
        <x:v>Cervical/thoracic imaging</x:v>
      </x:c>
      <x:c r="D164" s="16" t="str">
        <x:v>Cervical/thoracic spine MRI or whole-spine assessment</x:v>
      </x:c>
      <x:c r="E164" s="16" t="str">
        <x:v>Not seen</x:v>
      </x:c>
      <x:c r="F164" s="16" t="str"/>
      <x:c r="G164" s="16" t="str"/>
      <x:c r="H164" s="16" t="str">
        <x:v>Missing</x:v>
      </x:c>
      <x:c r="I164" s="16" t="str">
        <x:v>Discuss if neck/shoulder/whole-spine stiffness persists or neuro signs appear.</x:v>
      </x:c>
      <x:c r="J164" s="16" t="str">
        <x:v>Review of shared records</x:v>
      </x:c>
      <x:c r="K164" s="16" t="str">
        <x:v>Discuss with rheumatologist/spine specialist.</x:v>
      </x:c>
      <x:c r="L164" s="16" t="str">
        <x:v>Medium</x:v>
      </x:c>
    </x:row>
  </x:sheetData>
  <x:conditionalFormatting sqref="H2:H164">
    <x:cfRule type="expression" dxfId="0" priority="1">
      <x:formula>OR(ISNUMBER(SEARCH("High",H2)),ISNUMBER(SEARCH("Abnormal",H2)))</x:formula>
    </x:cfRule>
    <x:cfRule type="expression" dxfId="1" priority="2">
      <x:formula>OR(ISNUMBER(SEARCH("Pending",H2)),ISNUMBER(SEARCH("Missing",H2)),ISNUMBER(SEARCH("Action",H2)),ISNUMBER(SEARCH("Not ordered",H2)),ISNUMBER(SEARCH("Not completed",H2)))</x:formula>
    </x:cfRule>
    <x:cfRule type="expression" dxfId="2" priority="3">
      <x:formula>OR(ISNUMBER(SEARCH("Normal",H2)),ISNUMBER(SEARCH("Negative",H2)),ISNUMBER(SEARCH("Reassuring",H2)))</x:formula>
    </x:cfRule>
    <x:cfRule type="expression" dxfId="3" priority="4">
      <x:formula>ISNUMBER(SEARCH("Discrepancy",H2))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9830dfe64f41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4" hidden="0" customWidth="1"/>
    <x:col min="4" max="4" width="46" hidden="0" customWidth="1"/>
    <x:col min="5" max="5" width="18" hidden="0" customWidth="1"/>
    <x:col min="6" max="6" width="46" hidden="0" customWidth="1"/>
    <x:col min="7" max="7" width="46" hidden="0" customWidth="1"/>
  </x:cols>
  <x:sheetData>
    <x:row r="1" ht="34" customHeight="1">
      <x:c r="A1" s="22" t="str">
        <x:v>Priority</x:v>
      </x:c>
      <x:c r="B1" s="22" t="str">
        <x:v>Domain</x:v>
      </x:c>
      <x:c r="C1" s="22" t="str">
        <x:v>Issue</x:v>
      </x:c>
      <x:c r="D1" s="22" t="str">
        <x:v>Evidence / trigger</x:v>
      </x:c>
      <x:c r="E1" s="22" t="str">
        <x:v>Status</x:v>
      </x:c>
      <x:c r="F1" s="22" t="str">
        <x:v>Specific ask</x:v>
      </x:c>
      <x:c r="G1" s="22" t="str">
        <x:v>Why it matters</x:v>
      </x:c>
    </x:row>
    <x:row r="2">
      <x:c r="A2" s="14" t="n">
        <x:v>1</x:v>
      </x:c>
      <x:c r="B2" s="14" t="str">
        <x:v>Dermatology / Immunology</x:v>
      </x:c>
      <x:c r="C2" s="14" t="str">
        <x:v>Written skin biopsy report</x:v>
      </x:c>
      <x:c r="D2" s="14" t="str">
        <x:v>Verbal report: eosinophils in skin + ECP 48.4 high</x:v>
      </x:c>
      <x:c r="E2" s="14" t="str">
        <x:v>Missing</x:v>
      </x:c>
      <x:c r="F2" s="14" t="str">
        <x:v>Obtain full dermatopathology report with exact pattern and stains</x:v>
      </x:c>
      <x:c r="G2" s="14" t="str">
        <x:v>Needed to classify eosinophilic dermatitis vs urticarial dermatitis vs Wells-like vs drug-like vs psoriasiform/vasculitic/mast-cell/fungal</x:v>
      </x:c>
    </x:row>
    <x:row r="3">
      <x:c r="A3" s="14" t="n">
        <x:v>2</x:v>
      </x:c>
      <x:c r="B3" s="14" t="str">
        <x:v>Radiology / Rheumatology</x:v>
      </x:c>
      <x:c r="C3" s="14" t="str">
        <x:v>March vs June MRI reconciliation</x:v>
      </x:c>
      <x:c r="D3" s="14" t="str">
        <x:v>March SI MRI active lesion + L4 Romanus; June lumbar/SI-focused MRI says no active SI sign</x:v>
      </x:c>
      <x:c r="E3" s="14" t="str">
        <x:v>Open discrepancy</x:v>
      </x:c>
      <x:c r="F3" s="14" t="str">
        <x:v>Side-by-side MSK radiology review</x:v>
      </x:c>
      <x:c r="G3" s="14" t="str">
        <x:v>Prevents false reassurance or overcalling progression</x:v>
      </x:c>
    </x:row>
    <x:row r="4">
      <x:c r="A4" s="14" t="n">
        <x:v>3</x:v>
      </x:c>
      <x:c r="B4" s="14" t="str">
        <x:v>Radiology / Spine</x:v>
      </x:c>
      <x:c r="C4" s="14" t="str">
        <x:v>Castellvi/LSTV left-right and numbering discrepancy</x:v>
      </x:c>
      <x:c r="D4" s="14" t="str">
        <x:v>Earlier left Castellvi IIIA vs June right hemi-lumbarisation of S1</x:v>
      </x:c>
      <x:c r="E4" s="14" t="str">
        <x:v>Open discrepancy</x:v>
      </x:c>
      <x:c r="F4" s="14" t="str">
        <x:v>Formal vertebral numbering using CT/whole-spine count</x:v>
      </x:c>
      <x:c r="G4" s="14" t="str">
        <x:v>Critical for pain localization, injections, surgical/spine opinions</x:v>
      </x:c>
    </x:row>
    <x:row r="5">
      <x:c r="A5" s="14" t="n">
        <x:v>4</x:v>
      </x:c>
      <x:c r="B5" s="14" t="str">
        <x:v>Eosinophil / Immunology</x:v>
      </x:c>
      <x:c r="C5" s="14" t="str">
        <x:v>Eosinophil activation driver</x:v>
      </x:c>
      <x:c r="D5" s="14" t="str">
        <x:v>ECP high, mild eosinophilia, skin eosinophils, parasites/IgE/tryptase not explanatory</x:v>
      </x:c>
      <x:c r="E5" s="14" t="str">
        <x:v>Open</x:v>
      </x:c>
      <x:c r="F5" s="14" t="str">
        <x:v>Consider chronic eosinophilic dermatosis / lymphocyte-driven eosinophilic process; ask about TCR clonality if indicated</x:v>
      </x:c>
      <x:c r="G5" s="14" t="str">
        <x:v>Central unresolved systemic clue</x:v>
      </x:c>
    </x:row>
    <x:row r="6">
      <x:c r="A6" s="14" t="n">
        <x:v>5</x:v>
      </x:c>
      <x:c r="B6" s="14" t="str">
        <x:v>Endocrine / Nephrology</x:v>
      </x:c>
      <x:c r="C6" s="14" t="str">
        <x:v>Polyuria / dilute urine</x:v>
      </x:c>
      <x:c r="D6" s="14" t="str">
        <x:v>&gt;3.5 L/25h and urine density 1.003; sodium normal</x:v>
      </x:c>
      <x:c r="E6" s="14" t="str">
        <x:v>Open</x:v>
      </x:c>
      <x:c r="F6" s="14" t="str">
        <x:v>Urine osmolality + serum osmolality + repeat sodium</x:v>
      </x:c>
      <x:c r="G6" s="14" t="str">
        <x:v>Needed to classify hypotonic polyuria / DI vs other causes</x:v>
      </x:c>
    </x:row>
    <x:row r="7">
      <x:c r="A7" s="14" t="n">
        <x:v>6</x:v>
      </x:c>
      <x:c r="B7" s="14" t="str">
        <x:v>Metabolic / CV</x:v>
      </x:c>
      <x:c r="C7" s="14" t="str">
        <x:v>Dyslipidemia and homocysteine</x:v>
      </x:c>
      <x:c r="D7" s="14" t="str">
        <x:v>LDL 169, TG 198, ApoB 1.19, homocysteine 20.7</x:v>
      </x:c>
      <x:c r="E7" s="14" t="str">
        <x:v>Action gap</x:v>
      </x:c>
      <x:c r="F7" s="14" t="str">
        <x:v>CV risk/statin discussion; B12 pathway treatment</x:v>
      </x:c>
      <x:c r="G7" s="14" t="str">
        <x:v>Most concrete long-term modifiable risk</x:v>
      </x:c>
    </x:row>
    <x:row r="8">
      <x:c r="A8" s="14" t="n">
        <x:v>7</x:v>
      </x:c>
      <x:c r="B8" s="14" t="str">
        <x:v>Muscle / Myositis</x:v>
      </x:c>
      <x:c r="C8" s="14" t="str">
        <x:v>CK/CPK elevation</x:v>
      </x:c>
      <x:c r="D8" s="14" t="str">
        <x:v>CPK 381</x:v>
      </x:c>
      <x:c r="E8" s="14" t="str">
        <x:v>Open</x:v>
      </x:c>
      <x:c r="F8" s="14" t="str">
        <x:v>Repeat after rest; consider aldolase and myositis panel if persistent/symptoms support</x:v>
      </x:c>
      <x:c r="G8" s="14" t="str">
        <x:v>Clarifies muscle involvement vs transient elevation</x:v>
      </x:c>
    </x:row>
    <x:row r="9">
      <x:c r="A9" s="14" t="n">
        <x:v>8</x:v>
      </x:c>
      <x:c r="B9" s="14" t="str">
        <x:v>Genetics / Immunology</x:v>
      </x:c>
      <x:c r="C9" s="14" t="str">
        <x:v>Autoinflammatory, oncohematology, interferon results</x:v>
      </x:c>
      <x:c r="D9" s="14" t="str">
        <x:v>Ordered but not seen resulted</x:v>
      </x:c>
      <x:c r="E9" s="14" t="str">
        <x:v>Pending</x:v>
      </x:c>
      <x:c r="F9" s="14" t="str">
        <x:v>Request status/results and genes included</x:v>
      </x:c>
      <x:c r="G9" s="14" t="str">
        <x:v>Rule-out layer for atypical phenotype</x:v>
      </x:c>
    </x:row>
    <x:row r="10">
      <x:c r="A10" s="14" t="n">
        <x:v>9</x:v>
      </x:c>
      <x:c r="B10" s="14" t="str">
        <x:v>Mast-cell mediators</x:v>
      </x:c>
      <x:c r="C10" s="14" t="str">
        <x:v>24h urine histamine/methylhistamine/PGD2/LTE4</x:v>
      </x:c>
      <x:c r="D10" s="14" t="str">
        <x:v>Ordered but not seen resulted</x:v>
      </x:c>
      <x:c r="E10" s="14" t="str">
        <x:v>Pending</x:v>
      </x:c>
      <x:c r="F10" s="14" t="str">
        <x:v>Request results/status</x:v>
      </x:c>
      <x:c r="G10" s="14" t="str">
        <x:v>Could clarify mediator-driven symptoms despite normal tryptase</x:v>
      </x:c>
    </x:row>
    <x:row r="11">
      <x:c r="A11" s="14" t="n">
        <x:v>10</x:v>
      </x:c>
      <x:c r="B11" s="14" t="str">
        <x:v>Spine</x:v>
      </x:c>
      <x:c r="C11" s="14" t="str">
        <x:v>Cervical/thoracic assessment</x:v>
      </x:c>
      <x:c r="D11" s="14" t="str">
        <x:v>Whole-spine stiffness + neck/shoulder symptoms; no cervical/thoracic imaging seen</x:v>
      </x:c>
      <x:c r="E11" s="14" t="str">
        <x:v>Not done/unclear</x:v>
      </x:c>
      <x:c r="F11" s="14" t="str">
        <x:v>Discuss need based on current symptoms and neurological red flags</x:v>
      </x:c>
      <x:c r="G11" s="14" t="str">
        <x:v>Helps separate inflammatory extension vs mechanical/myofascial pain</x:v>
      </x:c>
    </x:row>
  </x:sheetData>
  <x:pageMargins left="0.7" right="0.7" top="0.75" bottom="0.75" header="0.3" footer="0.3"/>
  <x:tableParts count="1">
    <x:tablePart xmlns:r="http://schemas.openxmlformats.org/officeDocument/2006/relationships" r:id="Re8ff9ca3aa1647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4" max="4" width="28" hidden="0" customWidth="1"/>
    <x:col min="5" max="5" width="28" hidden="0" customWidth="1"/>
    <x:col min="7" max="7" width="30" hidden="0" customWidth="1"/>
    <x:col min="8" max="8" width="10" hidden="0" customWidth="1"/>
  </x:cols>
  <x:sheetData>
    <x:row r="1" ht="32" customHeight="1">
      <x:c r="A1" s="31" t="str">
        <x:v>Master Clinical Registry &amp; Laboratory Database — Updated June 2026</x:v>
      </x:c>
    </x:row>
    <x:row r="3">
      <x:c r="A3" s="40" t="str">
        <x:v>Total registry rows</x:v>
      </x:c>
      <x:c r="B3" s="14" t="n">
        <x:v>163</x:v>
      </x:c>
      <x:c r="D3" s="43" t="str">
        <x:v>Category</x:v>
      </x:c>
      <x:c r="E3" s="43" t="str">
        <x:v>Count</x:v>
      </x:c>
      <x:c r="G3" s="43" t="str">
        <x:v>Flag / Status</x:v>
      </x:c>
      <x:c r="H3" s="43" t="str">
        <x:v>Count</x:v>
      </x:c>
    </x:row>
    <x:row r="4">
      <x:c r="A4" s="40" t="str">
        <x:v>Open priority items</x:v>
      </x:c>
      <x:c r="B4" s="14" t="n">
        <x:v>10</x:v>
      </x:c>
      <x:c r="D4" s="12" t="str">
        <x:v>Radiology</x:v>
      </x:c>
      <x:c r="E4" s="12" t="n">
        <x:v>19</x:v>
      </x:c>
      <x:c r="G4" s="12" t="str">
        <x:v>Normal</x:v>
      </x:c>
      <x:c r="H4" s="12" t="n">
        <x:v>49</x:v>
      </x:c>
    </x:row>
    <x:row r="5">
      <x:c r="A5" s="40" t="str">
        <x:v>Latest critical new result</x:v>
      </x:c>
      <x:c r="B5" s="14" t="str">
        <x:v>ECP 48.4 µg/L high + skin eosinophils verbally reported</x:v>
      </x:c>
      <x:c r="D5" s="12" t="str">
        <x:v>Biochemistry</x:v>
      </x:c>
      <x:c r="E5" s="12" t="n">
        <x:v>17</x:v>
      </x:c>
      <x:c r="G5" s="12" t="str">
        <x:v>Negative</x:v>
      </x:c>
      <x:c r="H5" s="12" t="n">
        <x:v>17</x:v>
      </x:c>
    </x:row>
    <x:row r="6">
      <x:c r="A6" s="40" t="str">
        <x:v>Main unresolved question</x:v>
      </x:c>
      <x:c r="B6" s="14" t="str">
        <x:v>Driver/classification of eosinophil-active skin/tissue process</x:v>
      </x:c>
      <x:c r="D6" s="12" t="str">
        <x:v>Hematology</x:v>
      </x:c>
      <x:c r="E6" s="12" t="n">
        <x:v>14</x:v>
      </x:c>
      <x:c r="G6" s="12" t="str">
        <x:v>High</x:v>
      </x:c>
      <x:c r="H6" s="12" t="n">
        <x:v>10</x:v>
      </x:c>
    </x:row>
    <x:row r="7">
      <x:c r="A7" s="40" t="str">
        <x:v>Key imaging issue</x:v>
      </x:c>
      <x:c r="B7" s="14" t="str">
        <x:v>March 2026 dedicated SI MRI vs June 2026 lumbar/SI-focused MRI reconciliation</x:v>
      </x:c>
      <x:c r="D7" s="12" t="str">
        <x:v>Flow cytometry</x:v>
      </x:c>
      <x:c r="E7" s="12" t="n">
        <x:v>10</x:v>
      </x:c>
      <x:c r="G7" s="12" t="str">
        <x:v>Historical</x:v>
      </x:c>
      <x:c r="H7" s="12" t="n">
        <x:v>8</x:v>
      </x:c>
    </x:row>
    <x:row r="8">
      <x:c r="D8" s="12" t="str">
        <x:v>Urine</x:v>
      </x:c>
      <x:c r="E8" s="12" t="n">
        <x:v>10</x:v>
      </x:c>
      <x:c r="G8" s="12" t="str">
        <x:v>Active symptom</x:v>
      </x:c>
      <x:c r="H8" s="12" t="n">
        <x:v>5</x:v>
      </x:c>
    </x:row>
    <x:row r="9">
      <x:c r="D9" s="12" t="str">
        <x:v>Treatment history</x:v>
      </x:c>
      <x:c r="E9" s="12" t="n">
        <x:v>9</x:v>
      </x:c>
      <x:c r="G9" s="12" t="str">
        <x:v>Pending</x:v>
      </x:c>
      <x:c r="H9" s="12" t="n">
        <x:v>4</x:v>
      </x:c>
    </x:row>
    <x:row r="10">
      <x:c r="D10" s="12" t="str">
        <x:v>Infectious disease</x:v>
      </x:c>
      <x:c r="E10" s="12" t="n">
        <x:v>7</x:v>
      </x:c>
      <x:c r="G10" s="12" t="str">
        <x:v>Abnormal / mechanical</x:v>
      </x:c>
      <x:c r="H10" s="12" t="n">
        <x:v>3</x:v>
      </x:c>
    </x:row>
    <x:row r="11">
      <x:c r="D11" s="12" t="str">
        <x:v>Lipid profile</x:v>
      </x:c>
      <x:c r="E11" s="12" t="n">
        <x:v>7</x:v>
      </x:c>
      <x:c r="G11" s="12" t="str">
        <x:v>Action gap</x:v>
      </x:c>
      <x:c r="H11" s="12" t="n">
        <x:v>3</x:v>
      </x:c>
    </x:row>
    <x:row r="12">
      <x:c r="D12" s="12" t="str">
        <x:v>Clinical symptoms</x:v>
      </x:c>
      <x:c r="E12" s="12" t="n">
        <x:v>6</x:v>
      </x:c>
      <x:c r="G12" s="12" t="str">
        <x:v>Low-normal</x:v>
      </x:c>
      <x:c r="H12" s="12" t="n">
        <x:v>3</x:v>
      </x:c>
    </x:row>
    <x:row r="13">
      <x:c r="D13" s="12" t="str">
        <x:v>Parasitology</x:v>
      </x:c>
      <x:c r="E13" s="12" t="n">
        <x:v>6</x:v>
      </x:c>
      <x:c r="G13" s="12" t="str">
        <x:v>Abnormal / historical</x:v>
      </x:c>
      <x:c r="H13" s="12" t="n">
        <x:v>2</x:v>
      </x:c>
    </x:row>
    <x:row r="14">
      <x:c r="D14" s="12" t="str">
        <x:v>Iron studies</x:v>
      </x:c>
      <x:c r="E14" s="12" t="n">
        <x:v>5</x:v>
      </x:c>
      <x:c r="G14" s="12" t="str">
        <x:v>Chronic / structural</x:v>
      </x:c>
      <x:c r="H14" s="12" t="n">
        <x:v>2</x:v>
      </x:c>
    </x:row>
    <x:row r="15">
      <x:c r="D15" s="12" t="str">
        <x:v>Vitamins/metabolic</x:v>
      </x:c>
      <x:c r="E15" s="12" t="n">
        <x:v>5</x:v>
      </x:c>
      <x:c r="G15" s="12" t="str">
        <x:v>Low</x:v>
      </x:c>
      <x:c r="H15" s="12" t="n">
        <x:v>2</x:v>
      </x:c>
    </x:row>
    <x:row r="16">
      <x:c r="D16" s="12" t="str">
        <x:v>Autoimmune</x:v>
      </x:c>
      <x:c r="E16" s="12" t="n">
        <x:v>4</x:v>
      </x:c>
      <x:c r="G16" s="12" t="str">
        <x:v>Missing</x:v>
      </x:c>
      <x:c r="H16" s="12" t="n">
        <x:v>2</x:v>
      </x:c>
    </x:row>
    <x:row r="17">
      <x:c r="D17" s="12" t="str">
        <x:v>Complement</x:v>
      </x:c>
      <x:c r="E17" s="12" t="n">
        <x:v>3</x:v>
      </x:c>
      <x:c r="G17" s="12" t="str">
        <x:v>Normal percentage context</x:v>
      </x:c>
      <x:c r="H17" s="12" t="n">
        <x:v>2</x:v>
      </x:c>
    </x:row>
    <x:row r="18">
      <x:c r="D18" s="12" t="str">
        <x:v>Endocrine</x:v>
      </x:c>
      <x:c r="E18" s="12" t="n">
        <x:v>3</x:v>
      </x:c>
      <x:c r="G18" s="12" t="str">
        <x:v>Not ordered/unclear</x:v>
      </x:c>
      <x:c r="H18" s="12" t="n">
        <x:v>2</x:v>
      </x:c>
    </x:row>
    <x:row r="19">
      <x:c r="D19" s="12" t="str">
        <x:v>Immunoglobulins</x:v>
      </x:c>
      <x:c r="E19" s="12" t="n">
        <x:v>3</x:v>
      </x:c>
      <x:c r="G19" s="12" t="str">
        <x:v>Reassuring</x:v>
      </x:c>
      <x:c r="H19" s="12" t="n">
        <x:v>2</x:v>
      </x:c>
    </x:row>
    <x:row r="20">
      <x:c r="D20" s="12" t="str">
        <x:v>Inflammation</x:v>
      </x:c>
      <x:c r="E20" s="12" t="n">
        <x:v>3</x:v>
      </x:c>
      <x:c r="G20" s="12" t="str">
        <x:v>Abnormal / active inflammation</x:v>
      </x:c>
      <x:c r="H20" s="12" t="n">
        <x:v>1</x:v>
      </x:c>
    </x:row>
    <x:row r="21">
      <x:c r="D21" s="12" t="str">
        <x:v>Treatment gap</x:v>
      </x:c>
      <x:c r="E21" s="12" t="n">
        <x:v>3</x:v>
      </x:c>
      <x:c r="G21" s="12" t="str">
        <x:v>Abnormal / active inflammatory concern</x:v>
      </x:c>
      <x:c r="H21" s="12" t="n">
        <x:v>1</x:v>
      </x:c>
    </x:row>
    <x:row r="22">
      <x:c r="D22" s="12" t="str">
        <x:v>Vasculitis</x:v>
      </x:c>
      <x:c r="E22" s="12" t="n">
        <x:v>3</x:v>
      </x:c>
      <x:c r="G22" s="12" t="str">
        <x:v>Abnormal / neurological</x:v>
      </x:c>
      <x:c r="H22" s="12" t="n">
        <x:v>1</x:v>
      </x:c>
    </x:row>
    <x:row r="23">
      <x:c r="D23" s="12" t="str">
        <x:v>Allergy / mast cell</x:v>
      </x:c>
      <x:c r="E23" s="12" t="n">
        <x:v>2</x:v>
      </x:c>
      <x:c r="G23" s="12" t="str">
        <x:v>Abnormal / structural</x:v>
      </x:c>
      <x:c r="H23" s="12" t="n">
        <x:v>1</x:v>
      </x:c>
    </x:row>
    <x:row r="24">
      <x:c r="D24" s="12" t="str">
        <x:v>Clinical history</x:v>
      </x:c>
      <x:c r="E24" s="12" t="n">
        <x:v>2</x:v>
      </x:c>
      <x:c r="G24" s="12" t="str">
        <x:v>Abnormal / tissue involvement</x:v>
      </x:c>
      <x:c r="H24" s="12" t="n">
        <x:v>1</x:v>
      </x:c>
    </x:row>
    <x:row r="25">
      <x:c r="D25" s="12" t="str">
        <x:v>Dermatology</x:v>
      </x:c>
      <x:c r="E25" s="12" t="n">
        <x:v>2</x:v>
      </x:c>
      <x:c r="G25" s="12" t="str">
        <x:v>Anatomical variant</x:v>
      </x:c>
      <x:c r="H25" s="12" t="n">
        <x:v>1</x:v>
      </x:c>
    </x:row>
    <x:row r="26">
      <x:c r="D26" s="12" t="str">
        <x:v>Genetics</x:v>
      </x:c>
      <x:c r="E26" s="12" t="n">
        <x:v>2</x:v>
      </x:c>
      <x:c r="G26" s="12" t="str">
        <x:v>Anatomical variant / discrepancy</x:v>
      </x:c>
      <x:c r="H26" s="12" t="n">
        <x:v>1</x:v>
      </x:c>
    </x:row>
    <x:row r="27">
      <x:c r="D27" s="12" t="str">
        <x:v>Immunology</x:v>
      </x:c>
      <x:c r="E27" s="12" t="n">
        <x:v>2</x:v>
      </x:c>
      <x:c r="G27" s="12" t="str">
        <x:v>Confirmed</x:v>
      </x:c>
      <x:c r="H27" s="12" t="n">
        <x:v>1</x:v>
      </x:c>
    </x:row>
    <x:row r="28">
      <x:c r="D28" s="12" t="str">
        <x:v>Autoinflammation</x:v>
      </x:c>
      <x:c r="E28" s="12" t="n">
        <x:v>1</x:v>
      </x:c>
      <x:c r="G28" s="12" t="str">
        <x:v>Contrasts with March SI MRI</x:v>
      </x:c>
      <x:c r="H28" s="12" t="n">
        <x:v>1</x:v>
      </x:c>
    </x:row>
    <x:row r="29">
      <x:c r="D29" s="12" t="str">
        <x:v>Clinical event</x:v>
      </x:c>
      <x:c r="E29" s="12" t="n">
        <x:v>1</x:v>
      </x:c>
    </x:row>
    <x:row r="30">
      <x:c r="D30" s="12" t="str">
        <x:v>Endocrine / nephrology</x:v>
      </x:c>
      <x:c r="E30" s="12" t="n">
        <x:v>1</x:v>
      </x:c>
    </x:row>
    <x:row r="31">
      <x:c r="D31" s="12" t="str">
        <x:v>Eosinophil activation</x:v>
      </x:c>
      <x:c r="E31" s="12" t="n">
        <x:v>1</x:v>
      </x:c>
    </x:row>
    <x:row r="32">
      <x:c r="D32" s="12" t="str">
        <x:v>Genetics / hematology</x:v>
      </x:c>
      <x:c r="E32" s="12" t="n">
        <x:v>1</x:v>
      </x:c>
    </x:row>
    <x:row r="33">
      <x:c r="D33" s="12" t="str">
        <x:v>Hemolysis profile</x:v>
      </x:c>
      <x:c r="E33" s="12" t="n">
        <x:v>1</x:v>
      </x:c>
    </x:row>
    <x:row r="34">
      <x:c r="D34" s="12" t="str">
        <x:v>Immunology / Hematology</x:v>
      </x:c>
      <x:c r="E34" s="12" t="n">
        <x:v>1</x:v>
      </x:c>
    </x:row>
    <x:row r="35">
      <x:c r="D35" s="12" t="str">
        <x:v>Infectious history</x:v>
      </x:c>
      <x:c r="E35" s="12" t="n">
        <x:v>1</x:v>
      </x:c>
    </x:row>
    <x:row r="36">
      <x:c r="D36" s="12" t="str">
        <x:v>Mast-cell mediators</x:v>
      </x:c>
      <x:c r="E36" s="12" t="n">
        <x:v>1</x:v>
      </x:c>
    </x:row>
    <x:row r="37">
      <x:c r="D37" s="12" t="str">
        <x:v>Myositis workup</x:v>
      </x:c>
      <x:c r="E37" s="12" t="n">
        <x:v>1</x:v>
      </x:c>
    </x:row>
    <x:row r="38">
      <x:c r="D38" s="12" t="str">
        <x:v>Oncology / hematology</x:v>
      </x:c>
      <x:c r="E38" s="12" t="n">
        <x:v>1</x:v>
      </x:c>
    </x:row>
    <x:row r="39">
      <x:c r="D39" s="12" t="str">
        <x:v>Oncology marker</x:v>
      </x:c>
      <x:c r="E39" s="12" t="n">
        <x:v>1</x:v>
      </x:c>
    </x:row>
    <x:row r="40">
      <x:c r="D40" s="12" t="str">
        <x:v>Patient context</x:v>
      </x:c>
      <x:c r="E40" s="12" t="n">
        <x:v>1</x:v>
      </x:c>
    </x:row>
    <x:row r="41">
      <x:c r="D41" s="12" t="str">
        <x:v>Protein studies</x:v>
      </x:c>
      <x:c r="E41" s="12" t="n">
        <x:v>1</x:v>
      </x:c>
    </x:row>
    <x:row r="42">
      <x:c r="D42" s="12" t="str">
        <x:v>Therapeutic history</x:v>
      </x:c>
      <x:c r="E42" s="12" t="n">
        <x:v>1</x:v>
      </x:c>
    </x:row>
    <x:row r="43">
      <x:c r="D43" s="12" t="str">
        <x:v>Urine / fluid balance</x:v>
      </x:c>
      <x:c r="E43" s="12" t="n">
        <x:v>1</x:v>
      </x:c>
    </x:row>
    <x:row r="47">
      <x:c r="A47" s="47" t="str">
        <x:v>Use note</x:v>
      </x:c>
      <x:c r="B47" s="12" t="str">
        <x:v>This workbook is a structured registry for expert review, not a diagnosis.</x:v>
      </x:c>
    </x:row>
    <x:row r="48">
      <x:c r="A48" s="47" t="str">
        <x:v>Interpretation note</x:v>
      </x:c>
      <x:c r="B48" s="12" t="str">
        <x:v>Interpretive comments are intentionally conservative; they avoid unproven causal claims.</x:v>
      </x:c>
    </x:row>
    <x:row r="49">
      <x:c r="A49" s="47" t="str">
        <x:v>Source note</x:v>
      </x:c>
      <x:c r="B49" s="12" t="str">
        <x:v>Most rows are based on user-shared reports and history; Biomnis rows are from uploaded report; flow cytometry from shared image.</x:v>
      </x:c>
    </x:row>
    <x:row r="50">
      <x:c r="A50" s="47" t="str">
        <x:v>Critical caution</x:v>
      </x:c>
      <x:c r="B50" s="12" t="str">
        <x:v>Do not conclude that June MRI invalidates March SI MRI without side-by-side MSK review.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2" hidden="0" customWidth="1"/>
    <x:col min="3" max="3" width="18" hidden="0" customWidth="1"/>
    <x:col min="4" max="4" width="25" hidden="0" customWidth="1"/>
    <x:col min="5" max="5" width="48" hidden="0" customWidth="1"/>
    <x:col min="6" max="6" width="30" hidden="0" customWidth="1"/>
  </x:cols>
  <x:sheetData>
    <x:row r="1" ht="34" customHeight="1">
      <x:c r="A1" s="53" t="str">
        <x:v>Item</x:v>
      </x:c>
      <x:c r="B1" s="53" t="str">
        <x:v>Ordered?</x:v>
      </x:c>
      <x:c r="C1" s="53" t="str">
        <x:v>Result status</x:v>
      </x:c>
      <x:c r="D1" s="53" t="str">
        <x:v>Source/Evidence</x:v>
      </x:c>
      <x:c r="E1" s="53" t="str">
        <x:v>Why it matters</x:v>
      </x:c>
      <x:c r="F1" s="53" t="str">
        <x:v>Next step</x:v>
      </x:c>
    </x:row>
    <x:row r="2">
      <x:c r="A2" s="14" t="str">
        <x:v>24h urine mast-cell mediators: histamine, methylhistamine, PGD2, LTE4</x:v>
      </x:c>
      <x:c r="B2" s="14" t="str">
        <x:v>Yes</x:v>
      </x:c>
      <x:c r="C2" s="14" t="str">
        <x:v>No result seen</x:v>
      </x:c>
      <x:c r="D2" s="14" t="str">
        <x:v>Prescription shared</x:v>
      </x:c>
      <x:c r="E2" s="14" t="str">
        <x:v>Clarifies mast-cell mediator pathway despite normal tryptase</x:v>
      </x:c>
      <x:c r="F2" s="14" t="str">
        <x:v>Request results/status</x:v>
      </x:c>
    </x:row>
    <x:row r="3">
      <x:c r="A3" s="14" t="str">
        <x:v>Autoinflammatory genetic panel: MEFV, TNFRSF1A, NLRP3, MVK, NLRC4, ADA2/CECR1, PSTPIP1, NOD2, LPIN2, PLCG2</x:v>
      </x:c>
      <x:c r="B3" s="14" t="str">
        <x:v>Yes</x:v>
      </x:c>
      <x:c r="C3" s="14" t="str">
        <x:v>No result seen</x:v>
      </x:c>
      <x:c r="D3" s="14" t="str">
        <x:v>Prescription shared</x:v>
      </x:c>
      <x:c r="E3" s="14" t="str">
        <x:v>Rule-out atypical autoinflammatory syndromes</x:v>
      </x:c>
      <x:c r="F3" s="14" t="str">
        <x:v>Request result/status</x:v>
      </x:c>
    </x:row>
    <x:row r="4">
      <x:c r="A4" s="14" t="str">
        <x:v>Oncohematology / genetic panel</x:v>
      </x:c>
      <x:c r="B4" s="14" t="str">
        <x:v>Yes</x:v>
      </x:c>
      <x:c r="C4" s="14" t="str">
        <x:v>No result seen</x:v>
      </x:c>
      <x:c r="D4" s="14" t="str">
        <x:v>External LNS send-out noted</x:v>
      </x:c>
      <x:c r="E4" s="14" t="str">
        <x:v>Rule-out rare clonal/germline predisposition</x:v>
      </x:c>
      <x:c r="F4" s="14" t="str">
        <x:v>Request panel scope and result</x:v>
      </x:c>
    </x:row>
    <x:row r="5">
      <x:c r="A5" s="14" t="str">
        <x:v>Interferon transcriptomic signature</x:v>
      </x:c>
      <x:c r="B5" s="14" t="str">
        <x:v>Yes</x:v>
      </x:c>
      <x:c r="C5" s="14" t="str">
        <x:v>No result seen</x:v>
      </x:c>
      <x:c r="D5" s="14" t="str">
        <x:v>PAXgene send-out noted</x:v>
      </x:c>
      <x:c r="E5" s="14" t="str">
        <x:v>Can support interferon-driven immune activation</x:v>
      </x:c>
      <x:c r="F5" s="14" t="str">
        <x:v>Request result/status</x:v>
      </x:c>
    </x:row>
    <x:row r="6">
      <x:c r="A6" s="14" t="str">
        <x:v>Skin biopsy written report</x:v>
      </x:c>
      <x:c r="B6" s="14" t="str">
        <x:v>Yes</x:v>
      </x:c>
      <x:c r="C6" s="14" t="str">
        <x:v>Verbal result only: eosinophils in skin</x:v>
      </x:c>
      <x:c r="D6" s="14" t="str">
        <x:v>Doctor call reported by user</x:v>
      </x:c>
      <x:c r="E6" s="14" t="str">
        <x:v>Key for diagnosis/classification</x:v>
      </x:c>
      <x:c r="F6" s="14" t="str">
        <x:v>Obtain full report</x:v>
      </x:c>
    </x:row>
    <x:row r="7">
      <x:c r="A7" s="14" t="str">
        <x:v>Glycosylated ferritin</x:v>
      </x:c>
      <x:c r="B7" s="14" t="str">
        <x:v>Yes</x:v>
      </x:c>
      <x:c r="C7" s="14" t="str">
        <x:v>Not performed: insufficient sample</x:v>
      </x:c>
      <x:c r="D7" s="14" t="str">
        <x:v>Biomnis uploaded report</x:v>
      </x:c>
      <x:c r="E7" s="14" t="str">
        <x:v>Still's disease screen if clinically needed</x:v>
      </x:c>
      <x:c r="F7" s="14" t="str">
        <x:v>Repeat sample only if doctor still wants</x:v>
      </x:c>
    </x:row>
    <x:row r="8">
      <x:c r="A8" s="14" t="str">
        <x:v>TCR gene rearrangement / T-cell clonality</x:v>
      </x:c>
      <x:c r="B8" s="14" t="str">
        <x:v>Not seen</x:v>
      </x:c>
      <x:c r="C8" s="14" t="str">
        <x:v>Not ordered/unclear</x:v>
      </x:c>
      <x:c r="D8" s="14" t="str">
        <x:v>Review of shared reports</x:v>
      </x:c>
      <x:c r="E8" s="14" t="str">
        <x:v>Relevant if lymphocyte-driven eosinophilic process considered</x:v>
      </x:c>
      <x:c r="F8" s="14" t="str">
        <x:v>Ask immunology/hematology if indicated</x:v>
      </x:c>
    </x:row>
    <x:row r="9">
      <x:c r="A9" s="14" t="str">
        <x:v>Myositis antibody panel</x:v>
      </x:c>
      <x:c r="B9" s="14" t="str">
        <x:v>Not seen</x:v>
      </x:c>
      <x:c r="C9" s="14" t="str">
        <x:v>Not ordered/unclear</x:v>
      </x:c>
      <x:c r="D9" s="14" t="str">
        <x:v>Review of shared reports</x:v>
      </x:c>
      <x:c r="E9" s="14" t="str">
        <x:v>Relevant if CK persists or biopsy/clinical features support</x:v>
      </x:c>
      <x:c r="F9" s="14" t="str">
        <x:v>Ask doctor if indicated</x:v>
      </x:c>
    </x:row>
    <x:row r="10">
      <x:c r="A10" s="14" t="str">
        <x:v>Urine/serum osmolality workup</x:v>
      </x:c>
      <x:c r="B10" s="14" t="str">
        <x:v>Not seen</x:v>
      </x:c>
      <x:c r="C10" s="14" t="str">
        <x:v>Not done/unclear</x:v>
      </x:c>
      <x:c r="D10" s="14" t="str">
        <x:v>Review of shared reports</x:v>
      </x:c>
      <x:c r="E10" s="14" t="str">
        <x:v>Needed for polyuria classification</x:v>
      </x:c>
      <x:c r="F10" s="14" t="str">
        <x:v>Request workup</x:v>
      </x:c>
    </x:row>
  </x:sheetData>
  <x:pageMargins left="0.7" right="0.7" top="0.75" bottom="0.75" header="0.3" footer="0.3"/>
  <x:tableParts count="1">
    <x:tablePart xmlns:r="http://schemas.openxmlformats.org/officeDocument/2006/relationships" r:id="R3614dcf09d574d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61" t="str">
        <x:v>Column</x:v>
      </x:c>
      <x:c r="B1" s="61" t="str">
        <x:v>Meaning / use</x:v>
      </x:c>
    </x:row>
    <x:row r="2">
      <x:c r="A2" s="12" t="str">
        <x:v>Date / Timeline</x:v>
      </x:c>
      <x:c r="B2" s="12" t="str">
        <x:v>Exact date where known; year or period where only approximate history exists.</x:v>
      </x:c>
    </x:row>
    <x:row r="3">
      <x:c r="A3" s="12" t="str">
        <x:v>Category</x:v>
      </x:c>
      <x:c r="B3" s="12" t="str">
        <x:v>High-level medical/workflow category for filtering.</x:v>
      </x:c>
    </x:row>
    <x:row r="4">
      <x:c r="A4" s="12" t="str">
        <x:v>Subcategory</x:v>
      </x:c>
      <x:c r="B4" s="12" t="str">
        <x:v>More specific domain or test grouping.</x:v>
      </x:c>
    </x:row>
    <x:row r="5">
      <x:c r="A5" s="12" t="str">
        <x:v>Marker / Clinical Event</x:v>
      </x:c>
      <x:c r="B5" s="12" t="str">
        <x:v>Lab marker, imaging feature, symptom, treatment, or pending investigation.</x:v>
      </x:c>
    </x:row>
    <x:row r="6">
      <x:c r="A6" s="12" t="str">
        <x:v>Value</x:v>
      </x:c>
      <x:c r="B6" s="12" t="str">
        <x:v>Reported value/result. Text is used where numeric value is not applicable.</x:v>
      </x:c>
    </x:row>
    <x:row r="7">
      <x:c r="A7" s="12" t="str">
        <x:v>Unit</x:v>
      </x:c>
      <x:c r="B7" s="12" t="str">
        <x:v>Reported unit, if applicable.</x:v>
      </x:c>
    </x:row>
    <x:row r="8">
      <x:c r="A8" s="12" t="str">
        <x:v>Reference / Threshold</x:v>
      </x:c>
      <x:c r="B8" s="12" t="str">
        <x:v>Lab reference range or relevant threshold, where known.</x:v>
      </x:c>
    </x:row>
    <x:row r="9">
      <x:c r="A9" s="12" t="str">
        <x:v>Flag / Status</x:v>
      </x:c>
      <x:c r="B9" s="12" t="str">
        <x:v>Normal, high, low, abnormal, pending, missing, discrepancy, historical, etc.</x:v>
      </x:c>
    </x:row>
    <x:row r="10">
      <x:c r="A10" s="12" t="str">
        <x:v>Clinical Context / Interpretation (careful)</x:v>
      </x:c>
      <x:c r="B10" s="12" t="str">
        <x:v>Conservative interpretation; not a diagnosis.</x:v>
      </x:c>
    </x:row>
    <x:row r="11">
      <x:c r="A11" s="12" t="str">
        <x:v>Source / Evidence</x:v>
      </x:c>
      <x:c r="B11" s="12" t="str">
        <x:v>Where the row came from: uploaded report, image, user-shared chronology, etc.</x:v>
      </x:c>
    </x:row>
    <x:row r="12">
      <x:c r="A12" s="12" t="str">
        <x:v>Follow-up / Question</x:v>
      </x:c>
      <x:c r="B12" s="12" t="str">
        <x:v>Practical next question/action for clinician/expert review.</x:v>
      </x:c>
    </x:row>
    <x:row r="13">
      <x:c r="A13" s="12" t="str">
        <x:v>Confidence</x:v>
      </x:c>
      <x:c r="B13" s="12" t="str">
        <x:v>High if from direct report; Medium if based on user-provided history/translation/verbal update.</x:v>
      </x:c>
    </x:row>
  </x:sheetData>
  <x:pageMargins left="0.7" right="0.7" top="0.75" bottom="0.75" header="0.3" footer="0.3"/>
  <x:tableParts count="1">
    <x:tablePart xmlns:r="http://schemas.openxmlformats.org/officeDocument/2006/relationships" r:id="R32bbddc01649403f"/>
  </x:tableParts>
</x:worksheet>
</file>